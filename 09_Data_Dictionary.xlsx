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ta_Dictionary" sheetId="2" state="visible" r:id="rId4"/>
    <sheet name="Entities" sheetId="3" state="visible" r:id="rId5"/>
    <sheet name="Sensitivity_Scheme" sheetId="4" state="visible" r:id="rId6"/>
  </sheets>
  <definedNames>
    <definedName function="false" hidden="true" localSheetId="1" name="_xlnm._FilterDatabase" vbProcedure="false">Data_Dictionary!$A$1:$L$129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<sst xmlns="http://schemas.openxmlformats.org/spreadsheetml/2006/main" count="1619" uniqueCount="620">
  <si>
    <t xml:space="preserve">VELOOP REWARDS - Task 01 | Work Package G: Data Dictionary</t>
  </si>
  <si>
    <t xml:space="preserve">Every field is Proposed or To Be Verified. Nothing is claimed to exist in VELOOP today. Status 'Confirmed' is not used because no field has been verified by engineering.</t>
  </si>
  <si>
    <t xml:space="preserve">Every example value is illustrative (for example usr_example_0001). None is VELOOP data.</t>
  </si>
  <si>
    <t xml:space="preserve">The same field name can appear in several entities (for example user_id). Each appears because the table needs it to join; the number below counts rows, and unique field names are fewer.</t>
  </si>
  <si>
    <t xml:space="preserve">Fields were added only because a specification, event, KPI or table needs them. Nothing was added to reach a count.</t>
  </si>
  <si>
    <t xml:space="preserve">task_type and feature live on Tasks and are reached through task_id; event payloads still carry them (Event Tracking Plan).</t>
  </si>
  <si>
    <t xml:space="preserve">No personal data fields exist in this dictionary. Names, emails, phone numbers, exact location, raw IP and secrets are excluded (Work Package B).</t>
  </si>
  <si>
    <t xml:space="preserve">Live counts</t>
  </si>
  <si>
    <t xml:space="preserve">Fields (rows) in dictionary</t>
  </si>
  <si>
    <t xml:space="preserve">Entities</t>
  </si>
  <si>
    <t xml:space="preserve">Fields To Be Verified</t>
  </si>
  <si>
    <t xml:space="preserve">Fields Restricted</t>
  </si>
  <si>
    <t xml:space="preserve">Derived fields</t>
  </si>
  <si>
    <t xml:space="preserve">Minimum required by brief</t>
  </si>
  <si>
    <t xml:space="preserve">Entity</t>
  </si>
  <si>
    <t xml:space="preserve">Field Name</t>
  </si>
  <si>
    <t xml:space="preserve">Data Type</t>
  </si>
  <si>
    <t xml:space="preserve">Definition</t>
  </si>
  <si>
    <t xml:space="preserve">Example</t>
  </si>
  <si>
    <t xml:space="preserve">Required</t>
  </si>
  <si>
    <t xml:space="preserve">Allowed Values</t>
  </si>
  <si>
    <t xml:space="preserve">Validation</t>
  </si>
  <si>
    <t xml:space="preserve">Source</t>
  </si>
  <si>
    <t xml:space="preserve">Sensitivity</t>
  </si>
  <si>
    <t xml:space="preserve">Analytical Use</t>
  </si>
  <si>
    <t xml:space="preserve">Status</t>
  </si>
  <si>
    <t xml:space="preserve">Users</t>
  </si>
  <si>
    <t xml:space="preserve">user_id</t>
  </si>
  <si>
    <t xml:space="preserve">string</t>
  </si>
  <si>
    <t xml:space="preserve">Permanent anonymous key of the account</t>
  </si>
  <si>
    <t xml:space="preserve">usr_example_0001</t>
  </si>
  <si>
    <t xml:space="preserve">Yes</t>
  </si>
  <si>
    <t xml:space="preserve">-</t>
  </si>
  <si>
    <t xml:space="preserve">Non-null; unique; immutable</t>
  </si>
  <si>
    <t xml:space="preserve">Backend</t>
  </si>
  <si>
    <t xml:space="preserve">Internal</t>
  </si>
  <si>
    <t xml:space="preserve">Join key to every other entity</t>
  </si>
  <si>
    <t xml:space="preserve">To Be Verified</t>
  </si>
  <si>
    <t xml:space="preserve">registered_at</t>
  </si>
  <si>
    <t xml:space="preserve">timestamp (UTC)</t>
  </si>
  <si>
    <t xml:space="preserve">When the account was created</t>
  </si>
  <si>
    <t xml:space="preserve">2025-01-15T10:30:00Z</t>
  </si>
  <si>
    <t xml:space="preserve">ISO 8601 UTC; not in the future</t>
  </si>
  <si>
    <t xml:space="preserve">Cohorts and growth</t>
  </si>
  <si>
    <t xml:space="preserve">registration_source</t>
  </si>
  <si>
    <t xml:space="preserve">enum</t>
  </si>
  <si>
    <t xml:space="preserve">Channel through which the user arrived</t>
  </si>
  <si>
    <t xml:space="preserve">organic</t>
  </si>
  <si>
    <t xml:space="preserve">organic, referral, campaign, store, unknown (list to be agreed)</t>
  </si>
  <si>
    <t xml:space="preserve">In approved list; 'unknown' instead of null</t>
  </si>
  <si>
    <t xml:space="preserve">Frontend / Backend</t>
  </si>
  <si>
    <t xml:space="preserve">Acquisition analysis</t>
  </si>
  <si>
    <t xml:space="preserve">Proposed</t>
  </si>
  <si>
    <t xml:space="preserve">registration_method</t>
  </si>
  <si>
    <t xml:space="preserve">Sign-up route, category only (identity value never stored)</t>
  </si>
  <si>
    <t xml:space="preserve">social</t>
  </si>
  <si>
    <t xml:space="preserve">No</t>
  </si>
  <si>
    <t xml:space="preserve">email, phone, social, other (to be agreed)</t>
  </si>
  <si>
    <t xml:space="preserve">In approved list</t>
  </si>
  <si>
    <t xml:space="preserve">Compare sign-up routes</t>
  </si>
  <si>
    <t xml:space="preserve">platform</t>
  </si>
  <si>
    <t xml:space="preserve">Platform used at registration</t>
  </si>
  <si>
    <t xml:space="preserve">android</t>
  </si>
  <si>
    <t xml:space="preserve">android, ios, web (to be agreed)</t>
  </si>
  <si>
    <t xml:space="preserve">Frontend</t>
  </si>
  <si>
    <t xml:space="preserve">Platform split</t>
  </si>
  <si>
    <t xml:space="preserve">app_version</t>
  </si>
  <si>
    <t xml:space="preserve">App version at registration</t>
  </si>
  <si>
    <t xml:space="preserve">1.4.2</t>
  </si>
  <si>
    <t xml:space="preserve">Matches version pattern</t>
  </si>
  <si>
    <t xml:space="preserve">Version-specific problems</t>
  </si>
  <si>
    <t xml:space="preserve">country_code</t>
  </si>
  <si>
    <t xml:space="preserve">Country of the account, country level only</t>
  </si>
  <si>
    <t xml:space="preserve">IN</t>
  </si>
  <si>
    <t xml:space="preserve">ISO 3166-1 alpha-2</t>
  </si>
  <si>
    <t xml:space="preserve">Valid code; never precise location</t>
  </si>
  <si>
    <t xml:space="preserve">Backend (derived)</t>
  </si>
  <si>
    <t xml:space="preserve">Geographic distribution</t>
  </si>
  <si>
    <t xml:space="preserve">language_code</t>
  </si>
  <si>
    <t xml:space="preserve">Interface language</t>
  </si>
  <si>
    <t xml:space="preserve">en</t>
  </si>
  <si>
    <t xml:space="preserve">ISO 639-1</t>
  </si>
  <si>
    <t xml:space="preserve">Valid code</t>
  </si>
  <si>
    <t xml:space="preserve">Content and support planning</t>
  </si>
  <si>
    <t xml:space="preserve">referral_code_used</t>
  </si>
  <si>
    <t xml:space="preserve">Referral code entered at sign-up</t>
  </si>
  <si>
    <t xml:space="preserve">REF_EXAMPLE1</t>
  </si>
  <si>
    <t xml:space="preserve">Matches an existing referral code or null</t>
  </si>
  <si>
    <t xml:space="preserve">Link user to a referral</t>
  </si>
  <si>
    <t xml:space="preserve">campaign_id</t>
  </si>
  <si>
    <t xml:space="preserve">Marketing campaign of arrival</t>
  </si>
  <si>
    <t xml:space="preserve">cmp_example_01</t>
  </si>
  <si>
    <t xml:space="preserve">Approved campaign list</t>
  </si>
  <si>
    <t xml:space="preserve">In list or null</t>
  </si>
  <si>
    <t xml:space="preserve">Campaign attribution</t>
  </si>
  <si>
    <t xml:space="preserve">onboarding_status</t>
  </si>
  <si>
    <t xml:space="preserve">Current onboarding state</t>
  </si>
  <si>
    <t xml:space="preserve">completed</t>
  </si>
  <si>
    <t xml:space="preserve">not_started, in_progress, completed, skipped</t>
  </si>
  <si>
    <t xml:space="preserve">Onboarding funnel</t>
  </si>
  <si>
    <t xml:space="preserve">onboarding_started_at</t>
  </si>
  <si>
    <t xml:space="preserve">When onboarding began</t>
  </si>
  <si>
    <t xml:space="preserve">2025-01-15T10:31:00Z</t>
  </si>
  <si>
    <t xml:space="preserve">Conditional</t>
  </si>
  <si>
    <t xml:space="preserve">Not before registered_at</t>
  </si>
  <si>
    <t xml:space="preserve">Time to start onboarding</t>
  </si>
  <si>
    <t xml:space="preserve">onboarding_completed_at</t>
  </si>
  <si>
    <t xml:space="preserve">When onboarding finished</t>
  </si>
  <si>
    <t xml:space="preserve">2025-01-15T10:36:00Z</t>
  </si>
  <si>
    <t xml:space="preserve">Required when status = completed</t>
  </si>
  <si>
    <t xml:space="preserve">Onboarding duration</t>
  </si>
  <si>
    <t xml:space="preserve">first_activity_at</t>
  </si>
  <si>
    <t xml:space="preserve">First qualifying activity</t>
  </si>
  <si>
    <t xml:space="preserve">2025-01-15T11:00:00Z</t>
  </si>
  <si>
    <t xml:space="preserve">Derived</t>
  </si>
  <si>
    <t xml:space="preserve">Min of qualifying events; not before registered_at</t>
  </si>
  <si>
    <t xml:space="preserve">Analytics layer</t>
  </si>
  <si>
    <t xml:space="preserve">Time to first activity</t>
  </si>
  <si>
    <t xml:space="preserve">first_reward_credited_at</t>
  </si>
  <si>
    <t xml:space="preserve">First credited reward</t>
  </si>
  <si>
    <t xml:space="preserve">2025-01-15T11:05:00Z</t>
  </si>
  <si>
    <t xml:space="preserve">From first reward_credited</t>
  </si>
  <si>
    <t xml:space="preserve">Early value milestone</t>
  </si>
  <si>
    <t xml:space="preserve">last_login_at</t>
  </si>
  <si>
    <t xml:space="preserve">Latest login</t>
  </si>
  <si>
    <t xml:space="preserve">2025-03-02T08:00:00Z</t>
  </si>
  <si>
    <t xml:space="preserve">Max login time per user</t>
  </si>
  <si>
    <t xml:space="preserve">Return behaviour</t>
  </si>
  <si>
    <t xml:space="preserve">last_activity_at</t>
  </si>
  <si>
    <t xml:space="preserve">Latest qualifying activity</t>
  </si>
  <si>
    <t xml:space="preserve">2025-03-02T08:20:00Z</t>
  </si>
  <si>
    <t xml:space="preserve">Max qualifying event time</t>
  </si>
  <si>
    <t xml:space="preserve">Active vs inactive</t>
  </si>
  <si>
    <t xml:space="preserve">account_status</t>
  </si>
  <si>
    <t xml:space="preserve">Current account state</t>
  </si>
  <si>
    <t xml:space="preserve">active</t>
  </si>
  <si>
    <t xml:space="preserve">active, restricted, closed (map to real statuses)</t>
  </si>
  <si>
    <t xml:space="preserve">Account state mix</t>
  </si>
  <si>
    <t xml:space="preserve">status_changed_at</t>
  </si>
  <si>
    <t xml:space="preserve">Time of latest status change</t>
  </si>
  <si>
    <t xml:space="preserve">2025-02-10T09:00:00Z</t>
  </si>
  <si>
    <t xml:space="preserve">Required after any change</t>
  </si>
  <si>
    <t xml:space="preserve">Status timing</t>
  </si>
  <si>
    <t xml:space="preserve">account_closed_at</t>
  </si>
  <si>
    <t xml:space="preserve">When the account closed</t>
  </si>
  <si>
    <t xml:space="preserve">2025-04-01T00:00:00Z</t>
  </si>
  <si>
    <t xml:space="preserve">Required when status = closed</t>
  </si>
  <si>
    <t xml:space="preserve">Churn timing</t>
  </si>
  <si>
    <t xml:space="preserve">lifecycle_stage</t>
  </si>
  <si>
    <t xml:space="preserve">Single label for the user's stage</t>
  </si>
  <si>
    <t xml:space="preserve">registered, onboarding, activated, active, inactive, restricted, closed</t>
  </si>
  <si>
    <t xml:space="preserve">Computed from lifecycle rules</t>
  </si>
  <si>
    <t xml:space="preserve">Dashboard segmentation</t>
  </si>
  <si>
    <t xml:space="preserve">Account_Status_History</t>
  </si>
  <si>
    <t xml:space="preserve">status_history_id</t>
  </si>
  <si>
    <t xml:space="preserve">Key of one status change</t>
  </si>
  <si>
    <t xml:space="preserve">sth_example_01</t>
  </si>
  <si>
    <t xml:space="preserve">Unique</t>
  </si>
  <si>
    <t xml:space="preserve">Audit of status changes</t>
  </si>
  <si>
    <t xml:space="preserve">Account that changed</t>
  </si>
  <si>
    <t xml:space="preserve">Must exist in Users</t>
  </si>
  <si>
    <t xml:space="preserve">Join to Users</t>
  </si>
  <si>
    <t xml:space="preserve">previous_status</t>
  </si>
  <si>
    <t xml:space="preserve">Status before the change</t>
  </si>
  <si>
    <t xml:space="preserve">Same list as account_status</t>
  </si>
  <si>
    <t xml:space="preserve">Differs from new_status</t>
  </si>
  <si>
    <t xml:space="preserve">Read transitions</t>
  </si>
  <si>
    <t xml:space="preserve">new_status</t>
  </si>
  <si>
    <t xml:space="preserve">Status after the change</t>
  </si>
  <si>
    <t xml:space="preserve">restricted</t>
  </si>
  <si>
    <t xml:space="preserve">changed_at</t>
  </si>
  <si>
    <t xml:space="preserve">When the change happened</t>
  </si>
  <si>
    <t xml:space="preserve">Timing of changes</t>
  </si>
  <si>
    <t xml:space="preserve">status_change_actor</t>
  </si>
  <si>
    <t xml:space="preserve">Who caused the change</t>
  </si>
  <si>
    <t xml:space="preserve">operations</t>
  </si>
  <si>
    <t xml:space="preserve">user, system, operations</t>
  </si>
  <si>
    <t xml:space="preserve">Separate user vs operational changes</t>
  </si>
  <si>
    <t xml:space="preserve">status_reason_category</t>
  </si>
  <si>
    <t xml:space="preserve">Reason at category level, no free text</t>
  </si>
  <si>
    <t xml:space="preserve">other</t>
  </si>
  <si>
    <t xml:space="preserve">To be agreed with Operations</t>
  </si>
  <si>
    <t xml:space="preserve">In list; no personal data</t>
  </si>
  <si>
    <t xml:space="preserve">Explain changes</t>
  </si>
  <si>
    <t xml:space="preserve">Tasks</t>
  </si>
  <si>
    <t xml:space="preserve">task_id</t>
  </si>
  <si>
    <t xml:space="preserve">Key of a task in the catalogue (not an attempt)</t>
  </si>
  <si>
    <t xml:space="preserve">task_example_01</t>
  </si>
  <si>
    <t xml:space="preserve">Unique; immutable</t>
  </si>
  <si>
    <t xml:space="preserve">Join key for task activity</t>
  </si>
  <si>
    <t xml:space="preserve">task_type</t>
  </si>
  <si>
    <t xml:space="preserve">Category of task</t>
  </si>
  <si>
    <t xml:space="preserve">video</t>
  </si>
  <si>
    <t xml:space="preserve">Real VELOOP task types</t>
  </si>
  <si>
    <t xml:space="preserve">Public</t>
  </si>
  <si>
    <t xml:space="preserve">Segment by type</t>
  </si>
  <si>
    <t xml:space="preserve">feature</t>
  </si>
  <si>
    <t xml:space="preserve">Feature offering the task</t>
  </si>
  <si>
    <t xml:space="preserve">watch_ads</t>
  </si>
  <si>
    <t xml:space="preserve">Real VELOOP features</t>
  </si>
  <si>
    <t xml:space="preserve">Segment by feature</t>
  </si>
  <si>
    <t xml:space="preserve">task_title</t>
  </si>
  <si>
    <t xml:space="preserve">Display name of the task</t>
  </si>
  <si>
    <t xml:space="preserve">Example task</t>
  </si>
  <si>
    <t xml:space="preserve">No personal data</t>
  </si>
  <si>
    <t xml:space="preserve">Readable reports</t>
  </si>
  <si>
    <t xml:space="preserve">is_active</t>
  </si>
  <si>
    <t xml:space="preserve">boolean</t>
  </si>
  <si>
    <t xml:space="preserve">Whether the task is currently offered</t>
  </si>
  <si>
    <t xml:space="preserve">true</t>
  </si>
  <si>
    <t xml:space="preserve">true, false</t>
  </si>
  <si>
    <t xml:space="preserve">Boolean</t>
  </si>
  <si>
    <t xml:space="preserve">Exclude retired tasks</t>
  </si>
  <si>
    <t xml:space="preserve">validation_method</t>
  </si>
  <si>
    <t xml:space="preserve">How completion is checked</t>
  </si>
  <si>
    <t xml:space="preserve">provider</t>
  </si>
  <si>
    <t xml:space="preserve">none, internal, provider</t>
  </si>
  <si>
    <t xml:space="preserve">Interpret validation results</t>
  </si>
  <si>
    <t xml:space="preserve">provider_name</t>
  </si>
  <si>
    <t xml:space="preserve">External provider, if any</t>
  </si>
  <si>
    <t xml:space="preserve">provider_example</t>
  </si>
  <si>
    <t xml:space="preserve">Approved provider list</t>
  </si>
  <si>
    <t xml:space="preserve">Required when validation_method = provider</t>
  </si>
  <si>
    <t xml:space="preserve">Provider reliability</t>
  </si>
  <si>
    <t xml:space="preserve">created_at</t>
  </si>
  <si>
    <t xml:space="preserve">When the task entered the catalogue</t>
  </si>
  <si>
    <t xml:space="preserve">2025-01-01T00:00:00Z</t>
  </si>
  <si>
    <t xml:space="preserve">ISO 8601 UTC</t>
  </si>
  <si>
    <t xml:space="preserve">Catalogue history</t>
  </si>
  <si>
    <t xml:space="preserve">Task_Activity</t>
  </si>
  <si>
    <t xml:space="preserve">task_activity_id</t>
  </si>
  <si>
    <t xml:space="preserve">Key of one attempt by one user</t>
  </si>
  <si>
    <t xml:space="preserve">ta_example_0001</t>
  </si>
  <si>
    <t xml:space="preserve">Grain of the table</t>
  </si>
  <si>
    <t xml:space="preserve">Task attempted (type and feature come from Tasks)</t>
  </si>
  <si>
    <t xml:space="preserve">Must exist in Tasks</t>
  </si>
  <si>
    <t xml:space="preserve">Join to Tasks</t>
  </si>
  <si>
    <t xml:space="preserve">User who attempted</t>
  </si>
  <si>
    <t xml:space="preserve">attempt_number</t>
  </si>
  <si>
    <t xml:space="preserve">integer</t>
  </si>
  <si>
    <t xml:space="preserve">Nth attempt by this user at this task</t>
  </si>
  <si>
    <t xml:space="preserve">1</t>
  </si>
  <si>
    <t xml:space="preserve">Integer &gt;= 1</t>
  </si>
  <si>
    <t xml:space="preserve">Repeat attempts</t>
  </si>
  <si>
    <t xml:space="preserve">started_at</t>
  </si>
  <si>
    <t xml:space="preserve">When the attempt began</t>
  </si>
  <si>
    <t xml:space="preserve">Not in the future</t>
  </si>
  <si>
    <t xml:space="preserve">Task starts</t>
  </si>
  <si>
    <t xml:space="preserve">completion_claimed_at</t>
  </si>
  <si>
    <t xml:space="preserve">When completion was claimed</t>
  </si>
  <si>
    <t xml:space="preserve">2025-01-15T11:02:00Z</t>
  </si>
  <si>
    <t xml:space="preserve">Not before started_at</t>
  </si>
  <si>
    <t xml:space="preserve">Frontend / Provider</t>
  </si>
  <si>
    <t xml:space="preserve">Claim-to-validation time</t>
  </si>
  <si>
    <t xml:space="preserve">completed_at</t>
  </si>
  <si>
    <t xml:space="preserve">When completion passed validation</t>
  </si>
  <si>
    <t xml:space="preserve">2025-01-15T11:02:30Z</t>
  </si>
  <si>
    <t xml:space="preserve">Required when status = validated</t>
  </si>
  <si>
    <t xml:space="preserve">Real completions</t>
  </si>
  <si>
    <t xml:space="preserve">status</t>
  </si>
  <si>
    <t xml:space="preserve">State of the attempt</t>
  </si>
  <si>
    <t xml:space="preserve">validated</t>
  </si>
  <si>
    <t xml:space="preserve">started, completion_claimed, validated, failed, abandoned</t>
  </si>
  <si>
    <t xml:space="preserve">Funnel states</t>
  </si>
  <si>
    <t xml:space="preserve">validation_status</t>
  </si>
  <si>
    <t xml:space="preserve">Result of validation</t>
  </si>
  <si>
    <t xml:space="preserve">passed</t>
  </si>
  <si>
    <t xml:space="preserve">not_required, pending, passed, failed</t>
  </si>
  <si>
    <t xml:space="preserve">Validation pass rate</t>
  </si>
  <si>
    <t xml:space="preserve">validation_completed_at</t>
  </si>
  <si>
    <t xml:space="preserve">When validation finished</t>
  </si>
  <si>
    <t xml:space="preserve">Not before completion_claimed_at</t>
  </si>
  <si>
    <t xml:space="preserve">Validation delay</t>
  </si>
  <si>
    <t xml:space="preserve">reward_id</t>
  </si>
  <si>
    <t xml:space="preserve">Reward linked to this attempt</t>
  </si>
  <si>
    <t xml:space="preserve">rw_example_0001</t>
  </si>
  <si>
    <t xml:space="preserve">Must exist in Rewards</t>
  </si>
  <si>
    <t xml:space="preserve">Link activity to reward</t>
  </si>
  <si>
    <t xml:space="preserve">reward_amount</t>
  </si>
  <si>
    <t xml:space="preserve">decimal</t>
  </si>
  <si>
    <t xml:space="preserve">Reward amount tied to the attempt</t>
  </si>
  <si>
    <t xml:space="preserve">10.00</t>
  </si>
  <si>
    <t xml:space="preserve">Not negative</t>
  </si>
  <si>
    <t xml:space="preserve">Reward by task</t>
  </si>
  <si>
    <t xml:space="preserve">reward_unit</t>
  </si>
  <si>
    <t xml:space="preserve">Unit of the reward</t>
  </si>
  <si>
    <t xml:space="preserve">unit_example</t>
  </si>
  <si>
    <t xml:space="preserve">Real VELOOP units</t>
  </si>
  <si>
    <t xml:space="preserve">Required when amount present</t>
  </si>
  <si>
    <t xml:space="preserve">Prevents mixed-unit sums</t>
  </si>
  <si>
    <t xml:space="preserve">failure_category</t>
  </si>
  <si>
    <t xml:space="preserve">Why the attempt failed</t>
  </si>
  <si>
    <t xml:space="preserve">validation_failed</t>
  </si>
  <si>
    <t xml:space="preserve">validation_failed, tracking_failed, user_abandoned, system_error, provider_error, unknown</t>
  </si>
  <si>
    <t xml:space="preserve">Required when failed or abandoned</t>
  </si>
  <si>
    <t xml:space="preserve">Explain drop-off</t>
  </si>
  <si>
    <t xml:space="preserve">failure_detail_code</t>
  </si>
  <si>
    <t xml:space="preserve">VELOOP internal code, only if one exists</t>
  </si>
  <si>
    <t xml:space="preserve">Detail beyond category</t>
  </si>
  <si>
    <t xml:space="preserve">source</t>
  </si>
  <si>
    <t xml:space="preserve">Where the record came from</t>
  </si>
  <si>
    <t xml:space="preserve">backend</t>
  </si>
  <si>
    <t xml:space="preserve">frontend, backend, provider</t>
  </si>
  <si>
    <t xml:space="preserve">Trust and reconciliation</t>
  </si>
  <si>
    <t xml:space="preserve">provider_reference_id</t>
  </si>
  <si>
    <t xml:space="preserve">Provider's own id</t>
  </si>
  <si>
    <t xml:space="preserve">prov_example_01</t>
  </si>
  <si>
    <t xml:space="preserve">Unique per provider</t>
  </si>
  <si>
    <t xml:space="preserve">Provider</t>
  </si>
  <si>
    <t xml:space="preserve">Match external records</t>
  </si>
  <si>
    <t xml:space="preserve">Rewards</t>
  </si>
  <si>
    <t xml:space="preserve">Key of one reward</t>
  </si>
  <si>
    <t xml:space="preserve">Reward owner</t>
  </si>
  <si>
    <t xml:space="preserve">Activity that earned it, if any</t>
  </si>
  <si>
    <t xml:space="preserve">Must exist when present</t>
  </si>
  <si>
    <t xml:space="preserve">Link to activity</t>
  </si>
  <si>
    <t xml:space="preserve">source_feature</t>
  </si>
  <si>
    <t xml:space="preserve">Feature that produced the reward</t>
  </si>
  <si>
    <t xml:space="preserve">spin</t>
  </si>
  <si>
    <t xml:space="preserve">Reward activity by feature</t>
  </si>
  <si>
    <t xml:space="preserve">Reward amount</t>
  </si>
  <si>
    <t xml:space="preserve">Greater than 0</t>
  </si>
  <si>
    <t xml:space="preserve">Reward volume</t>
  </si>
  <si>
    <t xml:space="preserve">reward_status</t>
  </si>
  <si>
    <t xml:space="preserve">Current reward state</t>
  </si>
  <si>
    <t xml:space="preserve">credited</t>
  </si>
  <si>
    <t xml:space="preserve">pending, credited, reversed, rejected</t>
  </si>
  <si>
    <t xml:space="preserve">Reward state mix</t>
  </si>
  <si>
    <t xml:space="preserve">pending_reason</t>
  </si>
  <si>
    <t xml:space="preserve">Why the reward is held</t>
  </si>
  <si>
    <t xml:space="preserve">validation</t>
  </si>
  <si>
    <t xml:space="preserve">To be agreed</t>
  </si>
  <si>
    <t xml:space="preserve">Required when pending</t>
  </si>
  <si>
    <t xml:space="preserve">Pending queue</t>
  </si>
  <si>
    <t xml:space="preserve">When the reward was created</t>
  </si>
  <si>
    <t xml:space="preserve">Reward timing</t>
  </si>
  <si>
    <t xml:space="preserve">credited_at</t>
  </si>
  <si>
    <t xml:space="preserve">When it reached the wallet</t>
  </si>
  <si>
    <t xml:space="preserve">2025-01-15T11:02:31Z</t>
  </si>
  <si>
    <t xml:space="preserve">Required when credited</t>
  </si>
  <si>
    <t xml:space="preserve">Credit delay</t>
  </si>
  <si>
    <t xml:space="preserve">reversed_at</t>
  </si>
  <si>
    <t xml:space="preserve">When a credit was reversed</t>
  </si>
  <si>
    <t xml:space="preserve">2025-01-16T09:00:00Z</t>
  </si>
  <si>
    <t xml:space="preserve">Required when reversed</t>
  </si>
  <si>
    <t xml:space="preserve">Reversal timing</t>
  </si>
  <si>
    <t xml:space="preserve">original_reward_id</t>
  </si>
  <si>
    <t xml:space="preserve">Reward being reversed or corrected</t>
  </si>
  <si>
    <t xml:space="preserve">Must exist; not self</t>
  </si>
  <si>
    <t xml:space="preserve">Link reversals</t>
  </si>
  <si>
    <t xml:space="preserve">wallet_transaction_id</t>
  </si>
  <si>
    <t xml:space="preserve">Wallet entry for the credit</t>
  </si>
  <si>
    <t xml:space="preserve">wt_example_0001</t>
  </si>
  <si>
    <t xml:space="preserve">Must exist in Wallet_Transactions</t>
  </si>
  <si>
    <t xml:space="preserve">Reconcile rewards and wallet</t>
  </si>
  <si>
    <t xml:space="preserve">reason_category</t>
  </si>
  <si>
    <t xml:space="preserve">Reason for reversal, rejection or correction</t>
  </si>
  <si>
    <t xml:space="preserve">operational_error</t>
  </si>
  <si>
    <t xml:space="preserve">No free text</t>
  </si>
  <si>
    <t xml:space="preserve">Explain reversals</t>
  </si>
  <si>
    <t xml:space="preserve">Wallet_Transactions</t>
  </si>
  <si>
    <t xml:space="preserve">transaction_id</t>
  </si>
  <si>
    <t xml:space="preserve">Key of one ledger entry</t>
  </si>
  <si>
    <t xml:space="preserve">Unique; immutable; server-generated</t>
  </si>
  <si>
    <t xml:space="preserve">Deduplication and reconciliation</t>
  </si>
  <si>
    <t xml:space="preserve">idempotency_key</t>
  </si>
  <si>
    <t xml:space="preserve">Key making repeated requests create one entry</t>
  </si>
  <si>
    <t xml:space="preserve">idem_example_01</t>
  </si>
  <si>
    <t xml:space="preserve">Unique per request</t>
  </si>
  <si>
    <t xml:space="preserve">Prevent double credits</t>
  </si>
  <si>
    <t xml:space="preserve">Wallet owner</t>
  </si>
  <si>
    <t xml:space="preserve">When the entry was created</t>
  </si>
  <si>
    <t xml:space="preserve">Ledger timing</t>
  </si>
  <si>
    <t xml:space="preserve">When the entry became final</t>
  </si>
  <si>
    <t xml:space="preserve">Required when completed</t>
  </si>
  <si>
    <t xml:space="preserve">Settlement time</t>
  </si>
  <si>
    <t xml:space="preserve">transaction_type</t>
  </si>
  <si>
    <t xml:space="preserve">Kind of entry</t>
  </si>
  <si>
    <t xml:space="preserve">reward_credit</t>
  </si>
  <si>
    <t xml:space="preserve">reward_credit, redemption, withdrawal_debit, exchange_debit, exchange_credit, reversal, adjustment</t>
  </si>
  <si>
    <t xml:space="preserve">Split ledger by type</t>
  </si>
  <si>
    <t xml:space="preserve">direction</t>
  </si>
  <si>
    <t xml:space="preserve">Credit or debit</t>
  </si>
  <si>
    <t xml:space="preserve">credit</t>
  </si>
  <si>
    <t xml:space="preserve">credit, debit</t>
  </si>
  <si>
    <t xml:space="preserve">Agrees with transaction_type</t>
  </si>
  <si>
    <t xml:space="preserve">Sign of the entry</t>
  </si>
  <si>
    <t xml:space="preserve">amount</t>
  </si>
  <si>
    <t xml:space="preserve">Size of the entry, always positive</t>
  </si>
  <si>
    <t xml:space="preserve">Restricted</t>
  </si>
  <si>
    <t xml:space="preserve">Volumes and balances</t>
  </si>
  <si>
    <t xml:space="preserve">unit</t>
  </si>
  <si>
    <t xml:space="preserve">Unit of the amount</t>
  </si>
  <si>
    <t xml:space="preserve">One unit per entry</t>
  </si>
  <si>
    <t xml:space="preserve">State of the entry</t>
  </si>
  <si>
    <t xml:space="preserve">created, completed, failed, reversed</t>
  </si>
  <si>
    <t xml:space="preserve">Ledger state mix</t>
  </si>
  <si>
    <t xml:space="preserve">Feature that caused the entry</t>
  </si>
  <si>
    <t xml:space="preserve">task</t>
  </si>
  <si>
    <t xml:space="preserve">Activity by feature</t>
  </si>
  <si>
    <t xml:space="preserve">reference_id</t>
  </si>
  <si>
    <t xml:space="preserve">Record that caused the entry</t>
  </si>
  <si>
    <t xml:space="preserve">Must exist in referenced table</t>
  </si>
  <si>
    <t xml:space="preserve">Reconciliation</t>
  </si>
  <si>
    <t xml:space="preserve">related_transaction_id</t>
  </si>
  <si>
    <t xml:space="preserve">Entry being reversed or adjusted</t>
  </si>
  <si>
    <t xml:space="preserve">wt_example_0000</t>
  </si>
  <si>
    <t xml:space="preserve">Required for reversal and adjustment; not self</t>
  </si>
  <si>
    <t xml:space="preserve">exchange_group_id</t>
  </si>
  <si>
    <t xml:space="preserve">Pairs the two entries of an exchange</t>
  </si>
  <si>
    <t xml:space="preserve">ex_example_01</t>
  </si>
  <si>
    <t xml:space="preserve">One debit and one credit</t>
  </si>
  <si>
    <t xml:space="preserve">Exchange integrity</t>
  </si>
  <si>
    <t xml:space="preserve">balance_after</t>
  </si>
  <si>
    <t xml:space="preserve">Balance in that unit after the entry</t>
  </si>
  <si>
    <t xml:space="preserve">120.00</t>
  </si>
  <si>
    <t xml:space="preserve">Not negative; matches previous balance</t>
  </si>
  <si>
    <t xml:space="preserve">Balance reconciliation</t>
  </si>
  <si>
    <t xml:space="preserve">Withdrawals</t>
  </si>
  <si>
    <t xml:space="preserve">withdrawal_id</t>
  </si>
  <si>
    <t xml:space="preserve">Key of one withdrawal request</t>
  </si>
  <si>
    <t xml:space="preserve">wd_example_0001</t>
  </si>
  <si>
    <t xml:space="preserve">Requester</t>
  </si>
  <si>
    <t xml:space="preserve">requested_amount</t>
  </si>
  <si>
    <t xml:space="preserve">Amount requested</t>
  </si>
  <si>
    <t xml:space="preserve">50.00</t>
  </si>
  <si>
    <t xml:space="preserve">Withdrawal volume</t>
  </si>
  <si>
    <t xml:space="preserve">requested_unit</t>
  </si>
  <si>
    <t xml:space="preserve">Unit of the request</t>
  </si>
  <si>
    <t xml:space="preserve">method</t>
  </si>
  <si>
    <t xml:space="preserve">Payout method</t>
  </si>
  <si>
    <t xml:space="preserve">method_example</t>
  </si>
  <si>
    <t xml:space="preserve">Real VELOOP methods</t>
  </si>
  <si>
    <t xml:space="preserve">Method distribution</t>
  </si>
  <si>
    <t xml:space="preserve">requested_at</t>
  </si>
  <si>
    <t xml:space="preserve">When requested</t>
  </si>
  <si>
    <t xml:space="preserve">2025-02-01T12:00:00Z</t>
  </si>
  <si>
    <t xml:space="preserve">Request timing</t>
  </si>
  <si>
    <t xml:space="preserve">processing_at</t>
  </si>
  <si>
    <t xml:space="preserve">When processing began</t>
  </si>
  <si>
    <t xml:space="preserve">2025-02-01T14:00:00Z</t>
  </si>
  <si>
    <t xml:space="preserve">Not before requested_at</t>
  </si>
  <si>
    <t xml:space="preserve">Processing time</t>
  </si>
  <si>
    <t xml:space="preserve">final_at</t>
  </si>
  <si>
    <t xml:space="preserve">When a terminal status was reached</t>
  </si>
  <si>
    <t xml:space="preserve">2025-02-02T10:00:00Z</t>
  </si>
  <si>
    <t xml:space="preserve">Required for terminal statuses</t>
  </si>
  <si>
    <t xml:space="preserve">Current state</t>
  </si>
  <si>
    <t xml:space="preserve">requested, processing, completed, rejected, reversed (cancelled if allowed)</t>
  </si>
  <si>
    <t xml:space="preserve">Lifecycle counts</t>
  </si>
  <si>
    <t xml:space="preserve">Reason for rejection or reversal</t>
  </si>
  <si>
    <t xml:space="preserve">insufficient_balance</t>
  </si>
  <si>
    <t xml:space="preserve">insufficient_balance, information_incomplete, method_unavailable, policy_review, provider_failure, user_request, operational_error, other</t>
  </si>
  <si>
    <t xml:space="preserve">Required when rejected or reversed</t>
  </si>
  <si>
    <t xml:space="preserve">Explain rejections</t>
  </si>
  <si>
    <t xml:space="preserve">completed_amount</t>
  </si>
  <si>
    <t xml:space="preserve">Amount actually paid</t>
  </si>
  <si>
    <t xml:space="preserve">Paid volume</t>
  </si>
  <si>
    <t xml:space="preserve">Wallet entry for this withdrawal</t>
  </si>
  <si>
    <t xml:space="preserve">wt_example_0007</t>
  </si>
  <si>
    <t xml:space="preserve">Exactly one active debit</t>
  </si>
  <si>
    <t xml:space="preserve">Reconcile with wallet</t>
  </si>
  <si>
    <t xml:space="preserve">reviewer_type</t>
  </si>
  <si>
    <t xml:space="preserve">Automated or manual handling</t>
  </si>
  <si>
    <t xml:space="preserve">manual</t>
  </si>
  <si>
    <t xml:space="preserve">automated, manual, unknown</t>
  </si>
  <si>
    <t xml:space="preserve">Interpret processing time</t>
  </si>
  <si>
    <t xml:space="preserve">payout_provider_reference_id</t>
  </si>
  <si>
    <t xml:space="preserve">Payout partner's reference</t>
  </si>
  <si>
    <t xml:space="preserve">pp_example_01</t>
  </si>
  <si>
    <t xml:space="preserve">Match external payouts</t>
  </si>
  <si>
    <t xml:space="preserve">When a completed payout was reversed</t>
  </si>
  <si>
    <t xml:space="preserve">2025-02-05T10:00:00Z</t>
  </si>
  <si>
    <t xml:space="preserve">Referrals</t>
  </si>
  <si>
    <t xml:space="preserve">referral_id</t>
  </si>
  <si>
    <t xml:space="preserve">Key of one referral relationship</t>
  </si>
  <si>
    <t xml:space="preserve">ref_example_0001</t>
  </si>
  <si>
    <t xml:space="preserve">referring_user_id</t>
  </si>
  <si>
    <t xml:space="preserve">Inviting user</t>
  </si>
  <si>
    <t xml:space="preserve">Referrer analysis</t>
  </si>
  <si>
    <t xml:space="preserve">referred_user_id</t>
  </si>
  <si>
    <t xml:space="preserve">Invited user once registered</t>
  </si>
  <si>
    <t xml:space="preserve">usr_example_0002</t>
  </si>
  <si>
    <t xml:space="preserve">Must differ from referring_user_id</t>
  </si>
  <si>
    <t xml:space="preserve">Referred user analysis</t>
  </si>
  <si>
    <t xml:space="preserve">referral_code</t>
  </si>
  <si>
    <t xml:space="preserve">Code or link token used</t>
  </si>
  <si>
    <t xml:space="preserve">Unique per referring user</t>
  </si>
  <si>
    <t xml:space="preserve">Trace the source</t>
  </si>
  <si>
    <t xml:space="preserve">When the referral was created</t>
  </si>
  <si>
    <t xml:space="preserve">2025-01-20T09:00:00Z</t>
  </si>
  <si>
    <t xml:space="preserve">Funnel start</t>
  </si>
  <si>
    <t xml:space="preserve">When the referred user registered</t>
  </si>
  <si>
    <t xml:space="preserve">2025-01-21T09:00:00Z</t>
  </si>
  <si>
    <t xml:space="preserve">Not before created_at</t>
  </si>
  <si>
    <t xml:space="preserve">Registration step</t>
  </si>
  <si>
    <t xml:space="preserve">activated_at</t>
  </si>
  <si>
    <t xml:space="preserve">When the activation rule was met</t>
  </si>
  <si>
    <t xml:space="preserve">2025-01-22T09:00:00Z</t>
  </si>
  <si>
    <t xml:space="preserve">Activation step</t>
  </si>
  <si>
    <t xml:space="preserve">converted_at</t>
  </si>
  <si>
    <t xml:space="preserve">When the success condition was met</t>
  </si>
  <si>
    <t xml:space="preserve">2025-01-25T09:00:00Z</t>
  </si>
  <si>
    <t xml:space="preserve">Not before activated_at</t>
  </si>
  <si>
    <t xml:space="preserve">Conversion step</t>
  </si>
  <si>
    <t xml:space="preserve">Current referral stage</t>
  </si>
  <si>
    <t xml:space="preserve">activated</t>
  </si>
  <si>
    <t xml:space="preserve">created, registered, activated, converted, closed</t>
  </si>
  <si>
    <t xml:space="preserve">Funnel state</t>
  </si>
  <si>
    <t xml:space="preserve">source_channel</t>
  </si>
  <si>
    <t xml:space="preserve">How the referral was shared</t>
  </si>
  <si>
    <t xml:space="preserve">link</t>
  </si>
  <si>
    <t xml:space="preserve">link, code, other</t>
  </si>
  <si>
    <t xml:space="preserve">Channel effectiveness</t>
  </si>
  <si>
    <t xml:space="preserve">activation_rule_version</t>
  </si>
  <si>
    <t xml:space="preserve">Version of the activation rule applied</t>
  </si>
  <si>
    <t xml:space="preserve">v1</t>
  </si>
  <si>
    <t xml:space="preserve">Matches change log</t>
  </si>
  <si>
    <t xml:space="preserve">Explain results across rule changes</t>
  </si>
  <si>
    <t xml:space="preserve">referral_reward_id</t>
  </si>
  <si>
    <t xml:space="preserve">Reward given for the referral</t>
  </si>
  <si>
    <t xml:space="preserve">rw_example_0009</t>
  </si>
  <si>
    <t xml:space="preserve">Reward cost of referrals</t>
  </si>
  <si>
    <t xml:space="preserve">closed_reason_category</t>
  </si>
  <si>
    <t xml:space="preserve">Why closed without converting</t>
  </si>
  <si>
    <t xml:space="preserve">Explain lost referrals</t>
  </si>
  <si>
    <t xml:space="preserve">Feature_Events</t>
  </si>
  <si>
    <t xml:space="preserve">event_id</t>
  </si>
  <si>
    <t xml:space="preserve">Key of one event occurrence</t>
  </si>
  <si>
    <t xml:space="preserve">ev_example_0001</t>
  </si>
  <si>
    <t xml:space="preserve">Unique; retries reuse it</t>
  </si>
  <si>
    <t xml:space="preserve">Deduplication</t>
  </si>
  <si>
    <t xml:space="preserve">event_name</t>
  </si>
  <si>
    <t xml:space="preserve">Name from the event catalogue</t>
  </si>
  <si>
    <t xml:space="preserve">task_completed</t>
  </si>
  <si>
    <t xml:space="preserve">Event catalogue names</t>
  </si>
  <si>
    <t xml:space="preserve">Must be in catalogue</t>
  </si>
  <si>
    <t xml:space="preserve">Identify the event</t>
  </si>
  <si>
    <t xml:space="preserve">User who triggered the event</t>
  </si>
  <si>
    <t xml:space="preserve">event_timestamp</t>
  </si>
  <si>
    <t xml:space="preserve">When the event happened</t>
  </si>
  <si>
    <t xml:space="preserve">Ordering and daily metrics</t>
  </si>
  <si>
    <t xml:space="preserve">received_timestamp</t>
  </si>
  <si>
    <t xml:space="preserve">When the pipeline received it</t>
  </si>
  <si>
    <t xml:space="preserve">2025-01-15T11:02:32Z</t>
  </si>
  <si>
    <t xml:space="preserve">Not before event_timestamp by more than clock tolerance (to be agreed)</t>
  </si>
  <si>
    <t xml:space="preserve">Pipeline</t>
  </si>
  <si>
    <t xml:space="preserve">Detect delay and clock drift</t>
  </si>
  <si>
    <t xml:space="preserve">schema_version</t>
  </si>
  <si>
    <t xml:space="preserve">Version of the event definition</t>
  </si>
  <si>
    <t xml:space="preserve">Known version</t>
  </si>
  <si>
    <t xml:space="preserve">Handle definition changes</t>
  </si>
  <si>
    <t xml:space="preserve">Platform that emitted it</t>
  </si>
  <si>
    <t xml:space="preserve">android, ios, web</t>
  </si>
  <si>
    <t xml:space="preserve">App version that emitted it</t>
  </si>
  <si>
    <t xml:space="preserve">Version pattern</t>
  </si>
  <si>
    <t xml:space="preserve">Version problems</t>
  </si>
  <si>
    <t xml:space="preserve">Emitter type</t>
  </si>
  <si>
    <t xml:space="preserve">Trust in the event</t>
  </si>
  <si>
    <t xml:space="preserve">session_id</t>
  </si>
  <si>
    <t xml:space="preserve">Visit key, if session tracking exists</t>
  </si>
  <si>
    <t xml:space="preserve">sess_example_01</t>
  </si>
  <si>
    <t xml:space="preserve">Unique per session</t>
  </si>
  <si>
    <t xml:space="preserve">Session analysis</t>
  </si>
  <si>
    <t xml:space="preserve">Product feature of the event</t>
  </si>
  <si>
    <t xml:space="preserve">Feature usage</t>
  </si>
  <si>
    <t xml:space="preserve">properties</t>
  </si>
  <si>
    <t xml:space="preserve">json</t>
  </si>
  <si>
    <t xml:space="preserve">Event-specific properties from the catalogue</t>
  </si>
  <si>
    <t xml:space="preserve">{"task_id": "task_example_01"}</t>
  </si>
  <si>
    <t xml:space="preserve">Per event definition</t>
  </si>
  <si>
    <t xml:space="preserve">Valid JSON; required properties present</t>
  </si>
  <si>
    <t xml:space="preserve">Carry event details</t>
  </si>
  <si>
    <t xml:space="preserve">Support_Tickets</t>
  </si>
  <si>
    <t xml:space="preserve">ticket_id</t>
  </si>
  <si>
    <t xml:space="preserve">Key of one support request</t>
  </si>
  <si>
    <t xml:space="preserve">tk_example_0001</t>
  </si>
  <si>
    <t xml:space="preserve">Requesting user</t>
  </si>
  <si>
    <t xml:space="preserve">issue_category</t>
  </si>
  <si>
    <t xml:space="preserve">Category of the issue</t>
  </si>
  <si>
    <t xml:space="preserve">withdrawal</t>
  </si>
  <si>
    <t xml:space="preserve">In list; no free text</t>
  </si>
  <si>
    <t xml:space="preserve">Issue mix</t>
  </si>
  <si>
    <t xml:space="preserve">When the request was created</t>
  </si>
  <si>
    <t xml:space="preserve">2025-02-03T10:00:00Z</t>
  </si>
  <si>
    <t xml:space="preserve">Support demand</t>
  </si>
  <si>
    <t xml:space="preserve">resolved_at</t>
  </si>
  <si>
    <t xml:space="preserve">When it was resolved</t>
  </si>
  <si>
    <t xml:space="preserve">2025-02-03T15:00:00Z</t>
  </si>
  <si>
    <t xml:space="preserve">Resolution time</t>
  </si>
  <si>
    <t xml:space="preserve">ticket_status</t>
  </si>
  <si>
    <t xml:space="preserve">State of the request</t>
  </si>
  <si>
    <t xml:space="preserve">resolved</t>
  </si>
  <si>
    <t xml:space="preserve">open, resolved (to be agreed)</t>
  </si>
  <si>
    <t xml:space="preserve">Open workload</t>
  </si>
  <si>
    <t xml:space="preserve">Grain</t>
  </si>
  <si>
    <t xml:space="preserve">Primary Key</t>
  </si>
  <si>
    <t xml:space="preserve">Scope</t>
  </si>
  <si>
    <t xml:space="preserve">Fields</t>
  </si>
  <si>
    <t xml:space="preserve">One row per user account</t>
  </si>
  <si>
    <t xml:space="preserve">Core</t>
  </si>
  <si>
    <t xml:space="preserve">One row per account status change</t>
  </si>
  <si>
    <t xml:space="preserve">One row per task in the catalogue</t>
  </si>
  <si>
    <t xml:space="preserve">One row per task attempt</t>
  </si>
  <si>
    <t xml:space="preserve">One row per reward</t>
  </si>
  <si>
    <t xml:space="preserve">One row per ledger entry</t>
  </si>
  <si>
    <t xml:space="preserve">One row per withdrawal request</t>
  </si>
  <si>
    <t xml:space="preserve">One row per referral relationship</t>
  </si>
  <si>
    <t xml:space="preserve">One row per tracked event (raw event layer)</t>
  </si>
  <si>
    <t xml:space="preserve">One row per support request</t>
  </si>
  <si>
    <t xml:space="preserve">Optional (support KPIs)</t>
  </si>
  <si>
    <t xml:space="preserve">Level</t>
  </si>
  <si>
    <t xml:space="preserve">Meaning</t>
  </si>
  <si>
    <t xml:space="preserve">Access</t>
  </si>
  <si>
    <t xml:space="preserve">Already visible to users in the app, such as task titles</t>
  </si>
  <si>
    <t xml:space="preserve">Open to any reader of the dictionary</t>
  </si>
  <si>
    <t xml:space="preserve">Pseudonymous IDs, timestamps, statuses and categories</t>
  </si>
  <si>
    <t xml:space="preserve">Analysts, engineering, product and operations; no personal data</t>
  </si>
  <si>
    <t xml:space="preserve">Money amounts, withdrawal methods and payout references</t>
  </si>
  <si>
    <t xml:space="preserve">Named roles only; aggregated for wider reporting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</si>
</sst>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F8CBAD"/>
        <bgColor rgb="FFF4B6B6"/>
      </patternFill>
    </fill>
    <fill>
      <patternFill patternType="solid">
        <fgColor rgb="FFFFEB9C"/>
        <bgColor rgb="FFFFFFCC"/>
      </patternFill>
    </fill>
    <fill>
      <patternFill patternType="solid">
        <fgColor rgb="FFE2EFDA"/>
        <bgColor rgb="FFDDEBF7"/>
      </patternFill>
    </fill>
    <fill>
      <patternFill patternType="solid">
        <fgColor rgb="FFF4B6B6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B9C"/>
      <rgbColor rgb="FF99CCFF"/>
      <rgbColor rgb="FFF4B6B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2" t="s">
        <v>2</v>
      </c>
    </row>
    <row r="5" customFormat="false" ht="23.8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4" t="s">
        <v>8</v>
      </c>
      <c r="B11" s="4" t="n">
        <f aca="false">COUNTA(Data_Dictionary!B:B)-1</f>
        <v>128</v>
      </c>
    </row>
    <row r="12" customFormat="false" ht="15" hidden="false" customHeight="false" outlineLevel="0" collapsed="false">
      <c r="A12" s="4" t="s">
        <v>9</v>
      </c>
      <c r="B12" s="4" t="n">
        <f aca="false">COUNTA(Entities!A:A)-1</f>
        <v>10</v>
      </c>
    </row>
    <row r="13" customFormat="false" ht="15" hidden="false" customHeight="false" outlineLevel="0" collapsed="false">
      <c r="A13" s="4" t="s">
        <v>10</v>
      </c>
      <c r="B13" s="4" t="n">
        <f aca="false">COUNTIF(Data_Dictionary!L:L,"To Be Verified")</f>
        <v>44</v>
      </c>
    </row>
    <row r="14" customFormat="false" ht="15" hidden="false" customHeight="false" outlineLevel="0" collapsed="false">
      <c r="A14" s="4" t="s">
        <v>11</v>
      </c>
      <c r="B14" s="4" t="n">
        <f aca="false">COUNTIF(Data_Dictionary!J:J,"Restricted")</f>
        <v>6</v>
      </c>
    </row>
    <row r="15" customFormat="false" ht="15" hidden="false" customHeight="false" outlineLevel="0" collapsed="false">
      <c r="A15" s="4" t="s">
        <v>12</v>
      </c>
      <c r="B15" s="4" t="n">
        <f aca="false">COUNTIF(Data_Dictionary!F:F,"Derived")</f>
        <v>5</v>
      </c>
    </row>
    <row r="16" customFormat="false" ht="15" hidden="false" customHeight="false" outlineLevel="0" collapsed="false">
      <c r="A16" s="4" t="s">
        <v>13</v>
      </c>
      <c r="B16" s="4" t="n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26"/>
    <col collapsed="false" customWidth="true" hidden="false" outlineLevel="0" max="6" min="6" style="0" width="13"/>
    <col collapsed="false" customWidth="true" hidden="false" outlineLevel="0" max="7" min="7" style="0" width="40"/>
    <col collapsed="false" customWidth="true" hidden="false" outlineLevel="0" max="8" min="8" style="0" width="38"/>
    <col collapsed="false" customWidth="true" hidden="false" outlineLevel="0" max="9" min="9" style="0" width="18"/>
    <col collapsed="false" customWidth="true" hidden="false" outlineLevel="0" max="10" min="10" style="0" width="13"/>
    <col collapsed="false" customWidth="true" hidden="false" outlineLevel="0" max="11" min="11" style="0" width="34"/>
    <col collapsed="false" customWidth="true" hidden="false" outlineLevel="0" max="12" min="12" style="0" width="15"/>
  </cols>
  <sheetData>
    <row r="1" customFormat="false" ht="15" hidden="false" customHeight="false" outlineLevel="0" collapsed="false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23</v>
      </c>
      <c r="K1" s="5" t="s">
        <v>24</v>
      </c>
      <c r="L1" s="5" t="s">
        <v>25</v>
      </c>
    </row>
    <row r="2" customFormat="false" ht="15" hidden="false" customHeight="false" outlineLevel="0" collapsed="false">
      <c r="A2" s="6" t="s">
        <v>26</v>
      </c>
      <c r="B2" s="6" t="s">
        <v>27</v>
      </c>
      <c r="C2" s="6" t="s">
        <v>28</v>
      </c>
      <c r="D2" s="6" t="s">
        <v>29</v>
      </c>
      <c r="E2" s="6" t="s">
        <v>30</v>
      </c>
      <c r="F2" s="6" t="s">
        <v>31</v>
      </c>
      <c r="G2" s="6" t="s">
        <v>32</v>
      </c>
      <c r="H2" s="6" t="s">
        <v>33</v>
      </c>
      <c r="I2" s="6" t="s">
        <v>34</v>
      </c>
      <c r="J2" s="7" t="s">
        <v>35</v>
      </c>
      <c r="K2" s="6" t="s">
        <v>36</v>
      </c>
      <c r="L2" s="8" t="s">
        <v>37</v>
      </c>
    </row>
    <row r="3" customFormat="false" ht="15" hidden="false" customHeight="false" outlineLevel="0" collapsed="false">
      <c r="A3" s="6" t="s">
        <v>26</v>
      </c>
      <c r="B3" s="6" t="s">
        <v>38</v>
      </c>
      <c r="C3" s="6" t="s">
        <v>39</v>
      </c>
      <c r="D3" s="6" t="s">
        <v>40</v>
      </c>
      <c r="E3" s="6" t="s">
        <v>41</v>
      </c>
      <c r="F3" s="6" t="s">
        <v>31</v>
      </c>
      <c r="G3" s="6" t="s">
        <v>32</v>
      </c>
      <c r="H3" s="6" t="s">
        <v>42</v>
      </c>
      <c r="I3" s="6" t="s">
        <v>34</v>
      </c>
      <c r="J3" s="7" t="s">
        <v>35</v>
      </c>
      <c r="K3" s="6" t="s">
        <v>43</v>
      </c>
      <c r="L3" s="8" t="s">
        <v>37</v>
      </c>
    </row>
    <row r="4" customFormat="false" ht="23.85" hidden="false" customHeight="false" outlineLevel="0" collapsed="false">
      <c r="A4" s="6" t="s">
        <v>26</v>
      </c>
      <c r="B4" s="6" t="s">
        <v>44</v>
      </c>
      <c r="C4" s="6" t="s">
        <v>45</v>
      </c>
      <c r="D4" s="6" t="s">
        <v>46</v>
      </c>
      <c r="E4" s="6" t="s">
        <v>47</v>
      </c>
      <c r="F4" s="6" t="s">
        <v>31</v>
      </c>
      <c r="G4" s="6" t="s">
        <v>48</v>
      </c>
      <c r="H4" s="6" t="s">
        <v>49</v>
      </c>
      <c r="I4" s="6" t="s">
        <v>50</v>
      </c>
      <c r="J4" s="7" t="s">
        <v>35</v>
      </c>
      <c r="K4" s="6" t="s">
        <v>51</v>
      </c>
      <c r="L4" s="9" t="s">
        <v>52</v>
      </c>
    </row>
    <row r="5" customFormat="false" ht="23.85" hidden="false" customHeight="false" outlineLevel="0" collapsed="false">
      <c r="A5" s="6" t="s">
        <v>26</v>
      </c>
      <c r="B5" s="6" t="s">
        <v>53</v>
      </c>
      <c r="C5" s="6" t="s">
        <v>45</v>
      </c>
      <c r="D5" s="6" t="s">
        <v>54</v>
      </c>
      <c r="E5" s="6" t="s">
        <v>55</v>
      </c>
      <c r="F5" s="6" t="s">
        <v>56</v>
      </c>
      <c r="G5" s="6" t="s">
        <v>57</v>
      </c>
      <c r="H5" s="6" t="s">
        <v>58</v>
      </c>
      <c r="I5" s="6" t="s">
        <v>34</v>
      </c>
      <c r="J5" s="7" t="s">
        <v>35</v>
      </c>
      <c r="K5" s="6" t="s">
        <v>59</v>
      </c>
      <c r="L5" s="9" t="s">
        <v>52</v>
      </c>
    </row>
    <row r="6" customFormat="false" ht="15" hidden="false" customHeight="false" outlineLevel="0" collapsed="false">
      <c r="A6" s="6" t="s">
        <v>26</v>
      </c>
      <c r="B6" s="6" t="s">
        <v>60</v>
      </c>
      <c r="C6" s="6" t="s">
        <v>45</v>
      </c>
      <c r="D6" s="6" t="s">
        <v>61</v>
      </c>
      <c r="E6" s="6" t="s">
        <v>62</v>
      </c>
      <c r="F6" s="6" t="s">
        <v>31</v>
      </c>
      <c r="G6" s="6" t="s">
        <v>63</v>
      </c>
      <c r="H6" s="6" t="s">
        <v>58</v>
      </c>
      <c r="I6" s="6" t="s">
        <v>64</v>
      </c>
      <c r="J6" s="7" t="s">
        <v>35</v>
      </c>
      <c r="K6" s="6" t="s">
        <v>65</v>
      </c>
      <c r="L6" s="9" t="s">
        <v>52</v>
      </c>
    </row>
    <row r="7" customFormat="false" ht="15" hidden="false" customHeight="false" outlineLevel="0" collapsed="false">
      <c r="A7" s="6" t="s">
        <v>26</v>
      </c>
      <c r="B7" s="6" t="s">
        <v>66</v>
      </c>
      <c r="C7" s="6" t="s">
        <v>28</v>
      </c>
      <c r="D7" s="6" t="s">
        <v>67</v>
      </c>
      <c r="E7" s="6" t="s">
        <v>68</v>
      </c>
      <c r="F7" s="6" t="s">
        <v>31</v>
      </c>
      <c r="G7" s="6" t="s">
        <v>32</v>
      </c>
      <c r="H7" s="6" t="s">
        <v>69</v>
      </c>
      <c r="I7" s="6" t="s">
        <v>64</v>
      </c>
      <c r="J7" s="7" t="s">
        <v>35</v>
      </c>
      <c r="K7" s="6" t="s">
        <v>70</v>
      </c>
      <c r="L7" s="9" t="s">
        <v>52</v>
      </c>
    </row>
    <row r="8" customFormat="false" ht="15" hidden="false" customHeight="false" outlineLevel="0" collapsed="false">
      <c r="A8" s="6" t="s">
        <v>26</v>
      </c>
      <c r="B8" s="6" t="s">
        <v>71</v>
      </c>
      <c r="C8" s="6" t="s">
        <v>28</v>
      </c>
      <c r="D8" s="6" t="s">
        <v>72</v>
      </c>
      <c r="E8" s="6" t="s">
        <v>73</v>
      </c>
      <c r="F8" s="6" t="s">
        <v>56</v>
      </c>
      <c r="G8" s="6" t="s">
        <v>74</v>
      </c>
      <c r="H8" s="6" t="s">
        <v>75</v>
      </c>
      <c r="I8" s="6" t="s">
        <v>76</v>
      </c>
      <c r="J8" s="7" t="s">
        <v>35</v>
      </c>
      <c r="K8" s="6" t="s">
        <v>77</v>
      </c>
      <c r="L8" s="9" t="s">
        <v>52</v>
      </c>
    </row>
    <row r="9" customFormat="false" ht="15" hidden="false" customHeight="false" outlineLevel="0" collapsed="false">
      <c r="A9" s="6" t="s">
        <v>26</v>
      </c>
      <c r="B9" s="6" t="s">
        <v>78</v>
      </c>
      <c r="C9" s="6" t="s">
        <v>28</v>
      </c>
      <c r="D9" s="6" t="s">
        <v>79</v>
      </c>
      <c r="E9" s="6" t="s">
        <v>80</v>
      </c>
      <c r="F9" s="6" t="s">
        <v>56</v>
      </c>
      <c r="G9" s="6" t="s">
        <v>81</v>
      </c>
      <c r="H9" s="6" t="s">
        <v>82</v>
      </c>
      <c r="I9" s="6" t="s">
        <v>64</v>
      </c>
      <c r="J9" s="7" t="s">
        <v>35</v>
      </c>
      <c r="K9" s="6" t="s">
        <v>83</v>
      </c>
      <c r="L9" s="9" t="s">
        <v>52</v>
      </c>
    </row>
    <row r="10" customFormat="false" ht="15" hidden="false" customHeight="false" outlineLevel="0" collapsed="false">
      <c r="A10" s="6" t="s">
        <v>26</v>
      </c>
      <c r="B10" s="6" t="s">
        <v>84</v>
      </c>
      <c r="C10" s="6" t="s">
        <v>28</v>
      </c>
      <c r="D10" s="6" t="s">
        <v>85</v>
      </c>
      <c r="E10" s="6" t="s">
        <v>86</v>
      </c>
      <c r="F10" s="6" t="s">
        <v>56</v>
      </c>
      <c r="G10" s="6" t="s">
        <v>32</v>
      </c>
      <c r="H10" s="6" t="s">
        <v>87</v>
      </c>
      <c r="I10" s="6" t="s">
        <v>34</v>
      </c>
      <c r="J10" s="7" t="s">
        <v>35</v>
      </c>
      <c r="K10" s="6" t="s">
        <v>88</v>
      </c>
      <c r="L10" s="8" t="s">
        <v>37</v>
      </c>
    </row>
    <row r="11" customFormat="false" ht="15" hidden="false" customHeight="false" outlineLevel="0" collapsed="false">
      <c r="A11" s="6" t="s">
        <v>26</v>
      </c>
      <c r="B11" s="6" t="s">
        <v>89</v>
      </c>
      <c r="C11" s="6" t="s">
        <v>28</v>
      </c>
      <c r="D11" s="6" t="s">
        <v>90</v>
      </c>
      <c r="E11" s="6" t="s">
        <v>91</v>
      </c>
      <c r="F11" s="6" t="s">
        <v>56</v>
      </c>
      <c r="G11" s="6" t="s">
        <v>92</v>
      </c>
      <c r="H11" s="6" t="s">
        <v>93</v>
      </c>
      <c r="I11" s="6" t="s">
        <v>50</v>
      </c>
      <c r="J11" s="7" t="s">
        <v>35</v>
      </c>
      <c r="K11" s="6" t="s">
        <v>94</v>
      </c>
      <c r="L11" s="9" t="s">
        <v>52</v>
      </c>
    </row>
    <row r="12" customFormat="false" ht="15" hidden="false" customHeight="false" outlineLevel="0" collapsed="false">
      <c r="A12" s="6" t="s">
        <v>26</v>
      </c>
      <c r="B12" s="6" t="s">
        <v>95</v>
      </c>
      <c r="C12" s="6" t="s">
        <v>45</v>
      </c>
      <c r="D12" s="6" t="s">
        <v>96</v>
      </c>
      <c r="E12" s="6" t="s">
        <v>97</v>
      </c>
      <c r="F12" s="6" t="s">
        <v>31</v>
      </c>
      <c r="G12" s="6" t="s">
        <v>98</v>
      </c>
      <c r="H12" s="6" t="s">
        <v>58</v>
      </c>
      <c r="I12" s="6" t="s">
        <v>34</v>
      </c>
      <c r="J12" s="7" t="s">
        <v>35</v>
      </c>
      <c r="K12" s="6" t="s">
        <v>99</v>
      </c>
      <c r="L12" s="9" t="s">
        <v>52</v>
      </c>
    </row>
    <row r="13" customFormat="false" ht="15" hidden="false" customHeight="false" outlineLevel="0" collapsed="false">
      <c r="A13" s="6" t="s">
        <v>26</v>
      </c>
      <c r="B13" s="6" t="s">
        <v>100</v>
      </c>
      <c r="C13" s="6" t="s">
        <v>39</v>
      </c>
      <c r="D13" s="6" t="s">
        <v>101</v>
      </c>
      <c r="E13" s="6" t="s">
        <v>102</v>
      </c>
      <c r="F13" s="6" t="s">
        <v>103</v>
      </c>
      <c r="G13" s="6" t="s">
        <v>32</v>
      </c>
      <c r="H13" s="6" t="s">
        <v>104</v>
      </c>
      <c r="I13" s="6" t="s">
        <v>64</v>
      </c>
      <c r="J13" s="7" t="s">
        <v>35</v>
      </c>
      <c r="K13" s="6" t="s">
        <v>105</v>
      </c>
      <c r="L13" s="9" t="s">
        <v>52</v>
      </c>
    </row>
    <row r="14" customFormat="false" ht="15" hidden="false" customHeight="false" outlineLevel="0" collapsed="false">
      <c r="A14" s="6" t="s">
        <v>26</v>
      </c>
      <c r="B14" s="6" t="s">
        <v>106</v>
      </c>
      <c r="C14" s="6" t="s">
        <v>39</v>
      </c>
      <c r="D14" s="6" t="s">
        <v>107</v>
      </c>
      <c r="E14" s="6" t="s">
        <v>108</v>
      </c>
      <c r="F14" s="6" t="s">
        <v>103</v>
      </c>
      <c r="G14" s="6" t="s">
        <v>32</v>
      </c>
      <c r="H14" s="6" t="s">
        <v>109</v>
      </c>
      <c r="I14" s="6" t="s">
        <v>34</v>
      </c>
      <c r="J14" s="7" t="s">
        <v>35</v>
      </c>
      <c r="K14" s="6" t="s">
        <v>110</v>
      </c>
      <c r="L14" s="9" t="s">
        <v>52</v>
      </c>
    </row>
    <row r="15" customFormat="false" ht="23.85" hidden="false" customHeight="false" outlineLevel="0" collapsed="false">
      <c r="A15" s="6" t="s">
        <v>26</v>
      </c>
      <c r="B15" s="6" t="s">
        <v>111</v>
      </c>
      <c r="C15" s="6" t="s">
        <v>39</v>
      </c>
      <c r="D15" s="6" t="s">
        <v>112</v>
      </c>
      <c r="E15" s="6" t="s">
        <v>113</v>
      </c>
      <c r="F15" s="6" t="s">
        <v>114</v>
      </c>
      <c r="G15" s="6" t="s">
        <v>32</v>
      </c>
      <c r="H15" s="6" t="s">
        <v>115</v>
      </c>
      <c r="I15" s="6" t="s">
        <v>116</v>
      </c>
      <c r="J15" s="7" t="s">
        <v>35</v>
      </c>
      <c r="K15" s="6" t="s">
        <v>117</v>
      </c>
      <c r="L15" s="9" t="s">
        <v>52</v>
      </c>
    </row>
    <row r="16" customFormat="false" ht="15" hidden="false" customHeight="false" outlineLevel="0" collapsed="false">
      <c r="A16" s="6" t="s">
        <v>26</v>
      </c>
      <c r="B16" s="6" t="s">
        <v>118</v>
      </c>
      <c r="C16" s="6" t="s">
        <v>39</v>
      </c>
      <c r="D16" s="6" t="s">
        <v>119</v>
      </c>
      <c r="E16" s="6" t="s">
        <v>120</v>
      </c>
      <c r="F16" s="6" t="s">
        <v>114</v>
      </c>
      <c r="G16" s="6" t="s">
        <v>32</v>
      </c>
      <c r="H16" s="6" t="s">
        <v>121</v>
      </c>
      <c r="I16" s="6" t="s">
        <v>116</v>
      </c>
      <c r="J16" s="7" t="s">
        <v>35</v>
      </c>
      <c r="K16" s="6" t="s">
        <v>122</v>
      </c>
      <c r="L16" s="9" t="s">
        <v>52</v>
      </c>
    </row>
    <row r="17" customFormat="false" ht="15" hidden="false" customHeight="false" outlineLevel="0" collapsed="false">
      <c r="A17" s="6" t="s">
        <v>26</v>
      </c>
      <c r="B17" s="6" t="s">
        <v>123</v>
      </c>
      <c r="C17" s="6" t="s">
        <v>39</v>
      </c>
      <c r="D17" s="6" t="s">
        <v>124</v>
      </c>
      <c r="E17" s="6" t="s">
        <v>125</v>
      </c>
      <c r="F17" s="6" t="s">
        <v>114</v>
      </c>
      <c r="G17" s="6" t="s">
        <v>32</v>
      </c>
      <c r="H17" s="6" t="s">
        <v>126</v>
      </c>
      <c r="I17" s="6" t="s">
        <v>116</v>
      </c>
      <c r="J17" s="7" t="s">
        <v>35</v>
      </c>
      <c r="K17" s="6" t="s">
        <v>127</v>
      </c>
      <c r="L17" s="9" t="s">
        <v>52</v>
      </c>
    </row>
    <row r="18" customFormat="false" ht="15" hidden="false" customHeight="false" outlineLevel="0" collapsed="false">
      <c r="A18" s="6" t="s">
        <v>26</v>
      </c>
      <c r="B18" s="6" t="s">
        <v>128</v>
      </c>
      <c r="C18" s="6" t="s">
        <v>39</v>
      </c>
      <c r="D18" s="6" t="s">
        <v>129</v>
      </c>
      <c r="E18" s="6" t="s">
        <v>130</v>
      </c>
      <c r="F18" s="6" t="s">
        <v>114</v>
      </c>
      <c r="G18" s="6" t="s">
        <v>32</v>
      </c>
      <c r="H18" s="6" t="s">
        <v>131</v>
      </c>
      <c r="I18" s="6" t="s">
        <v>116</v>
      </c>
      <c r="J18" s="7" t="s">
        <v>35</v>
      </c>
      <c r="K18" s="6" t="s">
        <v>132</v>
      </c>
      <c r="L18" s="9" t="s">
        <v>52</v>
      </c>
    </row>
    <row r="19" customFormat="false" ht="15" hidden="false" customHeight="false" outlineLevel="0" collapsed="false">
      <c r="A19" s="6" t="s">
        <v>26</v>
      </c>
      <c r="B19" s="6" t="s">
        <v>133</v>
      </c>
      <c r="C19" s="6" t="s">
        <v>45</v>
      </c>
      <c r="D19" s="6" t="s">
        <v>134</v>
      </c>
      <c r="E19" s="6" t="s">
        <v>135</v>
      </c>
      <c r="F19" s="6" t="s">
        <v>31</v>
      </c>
      <c r="G19" s="6" t="s">
        <v>136</v>
      </c>
      <c r="H19" s="6" t="s">
        <v>58</v>
      </c>
      <c r="I19" s="6" t="s">
        <v>34</v>
      </c>
      <c r="J19" s="7" t="s">
        <v>35</v>
      </c>
      <c r="K19" s="6" t="s">
        <v>137</v>
      </c>
      <c r="L19" s="8" t="s">
        <v>37</v>
      </c>
    </row>
    <row r="20" customFormat="false" ht="15" hidden="false" customHeight="false" outlineLevel="0" collapsed="false">
      <c r="A20" s="6" t="s">
        <v>26</v>
      </c>
      <c r="B20" s="6" t="s">
        <v>138</v>
      </c>
      <c r="C20" s="6" t="s">
        <v>39</v>
      </c>
      <c r="D20" s="6" t="s">
        <v>139</v>
      </c>
      <c r="E20" s="6" t="s">
        <v>140</v>
      </c>
      <c r="F20" s="6" t="s">
        <v>103</v>
      </c>
      <c r="G20" s="6" t="s">
        <v>32</v>
      </c>
      <c r="H20" s="6" t="s">
        <v>141</v>
      </c>
      <c r="I20" s="6" t="s">
        <v>34</v>
      </c>
      <c r="J20" s="7" t="s">
        <v>35</v>
      </c>
      <c r="K20" s="6" t="s">
        <v>142</v>
      </c>
      <c r="L20" s="9" t="s">
        <v>52</v>
      </c>
    </row>
    <row r="21" customFormat="false" ht="15" hidden="false" customHeight="false" outlineLevel="0" collapsed="false">
      <c r="A21" s="6" t="s">
        <v>26</v>
      </c>
      <c r="B21" s="6" t="s">
        <v>143</v>
      </c>
      <c r="C21" s="6" t="s">
        <v>39</v>
      </c>
      <c r="D21" s="6" t="s">
        <v>144</v>
      </c>
      <c r="E21" s="6" t="s">
        <v>145</v>
      </c>
      <c r="F21" s="6" t="s">
        <v>103</v>
      </c>
      <c r="G21" s="6" t="s">
        <v>32</v>
      </c>
      <c r="H21" s="6" t="s">
        <v>146</v>
      </c>
      <c r="I21" s="6" t="s">
        <v>34</v>
      </c>
      <c r="J21" s="7" t="s">
        <v>35</v>
      </c>
      <c r="K21" s="6" t="s">
        <v>147</v>
      </c>
      <c r="L21" s="9" t="s">
        <v>52</v>
      </c>
    </row>
    <row r="22" customFormat="false" ht="23.85" hidden="false" customHeight="false" outlineLevel="0" collapsed="false">
      <c r="A22" s="6" t="s">
        <v>26</v>
      </c>
      <c r="B22" s="6" t="s">
        <v>148</v>
      </c>
      <c r="C22" s="6" t="s">
        <v>45</v>
      </c>
      <c r="D22" s="6" t="s">
        <v>149</v>
      </c>
      <c r="E22" s="6" t="s">
        <v>135</v>
      </c>
      <c r="F22" s="6" t="s">
        <v>114</v>
      </c>
      <c r="G22" s="6" t="s">
        <v>150</v>
      </c>
      <c r="H22" s="6" t="s">
        <v>151</v>
      </c>
      <c r="I22" s="6" t="s">
        <v>116</v>
      </c>
      <c r="J22" s="7" t="s">
        <v>35</v>
      </c>
      <c r="K22" s="6" t="s">
        <v>152</v>
      </c>
      <c r="L22" s="9" t="s">
        <v>52</v>
      </c>
    </row>
    <row r="23" customFormat="false" ht="15" hidden="false" customHeight="false" outlineLevel="0" collapsed="false">
      <c r="A23" s="6" t="s">
        <v>153</v>
      </c>
      <c r="B23" s="6" t="s">
        <v>154</v>
      </c>
      <c r="C23" s="6" t="s">
        <v>28</v>
      </c>
      <c r="D23" s="6" t="s">
        <v>155</v>
      </c>
      <c r="E23" s="6" t="s">
        <v>156</v>
      </c>
      <c r="F23" s="6" t="s">
        <v>31</v>
      </c>
      <c r="G23" s="6" t="s">
        <v>32</v>
      </c>
      <c r="H23" s="6" t="s">
        <v>157</v>
      </c>
      <c r="I23" s="6" t="s">
        <v>34</v>
      </c>
      <c r="J23" s="7" t="s">
        <v>35</v>
      </c>
      <c r="K23" s="6" t="s">
        <v>158</v>
      </c>
      <c r="L23" s="9" t="s">
        <v>52</v>
      </c>
    </row>
    <row r="24" customFormat="false" ht="15" hidden="false" customHeight="false" outlineLevel="0" collapsed="false">
      <c r="A24" s="6" t="s">
        <v>153</v>
      </c>
      <c r="B24" s="6" t="s">
        <v>27</v>
      </c>
      <c r="C24" s="6" t="s">
        <v>28</v>
      </c>
      <c r="D24" s="6" t="s">
        <v>159</v>
      </c>
      <c r="E24" s="6" t="s">
        <v>30</v>
      </c>
      <c r="F24" s="6" t="s">
        <v>31</v>
      </c>
      <c r="G24" s="6" t="s">
        <v>32</v>
      </c>
      <c r="H24" s="6" t="s">
        <v>160</v>
      </c>
      <c r="I24" s="6" t="s">
        <v>34</v>
      </c>
      <c r="J24" s="7" t="s">
        <v>35</v>
      </c>
      <c r="K24" s="6" t="s">
        <v>161</v>
      </c>
      <c r="L24" s="8" t="s">
        <v>37</v>
      </c>
    </row>
    <row r="25" customFormat="false" ht="15" hidden="false" customHeight="false" outlineLevel="0" collapsed="false">
      <c r="A25" s="6" t="s">
        <v>153</v>
      </c>
      <c r="B25" s="6" t="s">
        <v>162</v>
      </c>
      <c r="C25" s="6" t="s">
        <v>45</v>
      </c>
      <c r="D25" s="6" t="s">
        <v>163</v>
      </c>
      <c r="E25" s="6" t="s">
        <v>135</v>
      </c>
      <c r="F25" s="6" t="s">
        <v>31</v>
      </c>
      <c r="G25" s="6" t="s">
        <v>164</v>
      </c>
      <c r="H25" s="6" t="s">
        <v>165</v>
      </c>
      <c r="I25" s="6" t="s">
        <v>34</v>
      </c>
      <c r="J25" s="7" t="s">
        <v>35</v>
      </c>
      <c r="K25" s="6" t="s">
        <v>166</v>
      </c>
      <c r="L25" s="9" t="s">
        <v>52</v>
      </c>
    </row>
    <row r="26" customFormat="false" ht="15" hidden="false" customHeight="false" outlineLevel="0" collapsed="false">
      <c r="A26" s="6" t="s">
        <v>153</v>
      </c>
      <c r="B26" s="6" t="s">
        <v>167</v>
      </c>
      <c r="C26" s="6" t="s">
        <v>45</v>
      </c>
      <c r="D26" s="6" t="s">
        <v>168</v>
      </c>
      <c r="E26" s="6" t="s">
        <v>169</v>
      </c>
      <c r="F26" s="6" t="s">
        <v>31</v>
      </c>
      <c r="G26" s="6" t="s">
        <v>164</v>
      </c>
      <c r="H26" s="6" t="s">
        <v>58</v>
      </c>
      <c r="I26" s="6" t="s">
        <v>34</v>
      </c>
      <c r="J26" s="7" t="s">
        <v>35</v>
      </c>
      <c r="K26" s="6" t="s">
        <v>166</v>
      </c>
      <c r="L26" s="9" t="s">
        <v>52</v>
      </c>
    </row>
    <row r="27" customFormat="false" ht="15" hidden="false" customHeight="false" outlineLevel="0" collapsed="false">
      <c r="A27" s="6" t="s">
        <v>153</v>
      </c>
      <c r="B27" s="6" t="s">
        <v>170</v>
      </c>
      <c r="C27" s="6" t="s">
        <v>39</v>
      </c>
      <c r="D27" s="6" t="s">
        <v>171</v>
      </c>
      <c r="E27" s="6" t="s">
        <v>140</v>
      </c>
      <c r="F27" s="6" t="s">
        <v>31</v>
      </c>
      <c r="G27" s="6" t="s">
        <v>32</v>
      </c>
      <c r="H27" s="6" t="s">
        <v>104</v>
      </c>
      <c r="I27" s="6" t="s">
        <v>34</v>
      </c>
      <c r="J27" s="7" t="s">
        <v>35</v>
      </c>
      <c r="K27" s="6" t="s">
        <v>172</v>
      </c>
      <c r="L27" s="9" t="s">
        <v>52</v>
      </c>
    </row>
    <row r="28" customFormat="false" ht="15" hidden="false" customHeight="false" outlineLevel="0" collapsed="false">
      <c r="A28" s="6" t="s">
        <v>153</v>
      </c>
      <c r="B28" s="6" t="s">
        <v>173</v>
      </c>
      <c r="C28" s="6" t="s">
        <v>45</v>
      </c>
      <c r="D28" s="6" t="s">
        <v>174</v>
      </c>
      <c r="E28" s="6" t="s">
        <v>175</v>
      </c>
      <c r="F28" s="6" t="s">
        <v>31</v>
      </c>
      <c r="G28" s="6" t="s">
        <v>176</v>
      </c>
      <c r="H28" s="6" t="s">
        <v>58</v>
      </c>
      <c r="I28" s="6" t="s">
        <v>34</v>
      </c>
      <c r="J28" s="7" t="s">
        <v>35</v>
      </c>
      <c r="K28" s="6" t="s">
        <v>177</v>
      </c>
      <c r="L28" s="9" t="s">
        <v>52</v>
      </c>
    </row>
    <row r="29" customFormat="false" ht="15" hidden="false" customHeight="false" outlineLevel="0" collapsed="false">
      <c r="A29" s="6" t="s">
        <v>153</v>
      </c>
      <c r="B29" s="6" t="s">
        <v>178</v>
      </c>
      <c r="C29" s="6" t="s">
        <v>45</v>
      </c>
      <c r="D29" s="6" t="s">
        <v>179</v>
      </c>
      <c r="E29" s="6" t="s">
        <v>180</v>
      </c>
      <c r="F29" s="6" t="s">
        <v>56</v>
      </c>
      <c r="G29" s="6" t="s">
        <v>181</v>
      </c>
      <c r="H29" s="6" t="s">
        <v>182</v>
      </c>
      <c r="I29" s="6" t="s">
        <v>34</v>
      </c>
      <c r="J29" s="7" t="s">
        <v>35</v>
      </c>
      <c r="K29" s="6" t="s">
        <v>183</v>
      </c>
      <c r="L29" s="8" t="s">
        <v>37</v>
      </c>
    </row>
    <row r="30" customFormat="false" ht="15" hidden="false" customHeight="false" outlineLevel="0" collapsed="false">
      <c r="A30" s="6" t="s">
        <v>184</v>
      </c>
      <c r="B30" s="6" t="s">
        <v>185</v>
      </c>
      <c r="C30" s="6" t="s">
        <v>28</v>
      </c>
      <c r="D30" s="6" t="s">
        <v>186</v>
      </c>
      <c r="E30" s="6" t="s">
        <v>187</v>
      </c>
      <c r="F30" s="6" t="s">
        <v>31</v>
      </c>
      <c r="G30" s="6" t="s">
        <v>32</v>
      </c>
      <c r="H30" s="6" t="s">
        <v>188</v>
      </c>
      <c r="I30" s="6" t="s">
        <v>34</v>
      </c>
      <c r="J30" s="7" t="s">
        <v>35</v>
      </c>
      <c r="K30" s="6" t="s">
        <v>189</v>
      </c>
      <c r="L30" s="8" t="s">
        <v>37</v>
      </c>
    </row>
    <row r="31" customFormat="false" ht="15" hidden="false" customHeight="false" outlineLevel="0" collapsed="false">
      <c r="A31" s="6" t="s">
        <v>184</v>
      </c>
      <c r="B31" s="6" t="s">
        <v>190</v>
      </c>
      <c r="C31" s="6" t="s">
        <v>45</v>
      </c>
      <c r="D31" s="6" t="s">
        <v>191</v>
      </c>
      <c r="E31" s="6" t="s">
        <v>192</v>
      </c>
      <c r="F31" s="6" t="s">
        <v>31</v>
      </c>
      <c r="G31" s="6" t="s">
        <v>193</v>
      </c>
      <c r="H31" s="6" t="s">
        <v>58</v>
      </c>
      <c r="I31" s="6" t="s">
        <v>34</v>
      </c>
      <c r="J31" s="10" t="s">
        <v>194</v>
      </c>
      <c r="K31" s="6" t="s">
        <v>195</v>
      </c>
      <c r="L31" s="8" t="s">
        <v>37</v>
      </c>
    </row>
    <row r="32" customFormat="false" ht="15" hidden="false" customHeight="false" outlineLevel="0" collapsed="false">
      <c r="A32" s="6" t="s">
        <v>184</v>
      </c>
      <c r="B32" s="6" t="s">
        <v>196</v>
      </c>
      <c r="C32" s="6" t="s">
        <v>45</v>
      </c>
      <c r="D32" s="6" t="s">
        <v>197</v>
      </c>
      <c r="E32" s="6" t="s">
        <v>198</v>
      </c>
      <c r="F32" s="6" t="s">
        <v>31</v>
      </c>
      <c r="G32" s="6" t="s">
        <v>199</v>
      </c>
      <c r="H32" s="6" t="s">
        <v>58</v>
      </c>
      <c r="I32" s="6" t="s">
        <v>34</v>
      </c>
      <c r="J32" s="10" t="s">
        <v>194</v>
      </c>
      <c r="K32" s="6" t="s">
        <v>200</v>
      </c>
      <c r="L32" s="8" t="s">
        <v>37</v>
      </c>
    </row>
    <row r="33" customFormat="false" ht="15" hidden="false" customHeight="false" outlineLevel="0" collapsed="false">
      <c r="A33" s="6" t="s">
        <v>184</v>
      </c>
      <c r="B33" s="6" t="s">
        <v>201</v>
      </c>
      <c r="C33" s="6" t="s">
        <v>28</v>
      </c>
      <c r="D33" s="6" t="s">
        <v>202</v>
      </c>
      <c r="E33" s="6" t="s">
        <v>203</v>
      </c>
      <c r="F33" s="6" t="s">
        <v>56</v>
      </c>
      <c r="G33" s="6" t="s">
        <v>32</v>
      </c>
      <c r="H33" s="6" t="s">
        <v>204</v>
      </c>
      <c r="I33" s="6" t="s">
        <v>34</v>
      </c>
      <c r="J33" s="10" t="s">
        <v>194</v>
      </c>
      <c r="K33" s="6" t="s">
        <v>205</v>
      </c>
      <c r="L33" s="9" t="s">
        <v>52</v>
      </c>
    </row>
    <row r="34" customFormat="false" ht="15" hidden="false" customHeight="false" outlineLevel="0" collapsed="false">
      <c r="A34" s="6" t="s">
        <v>184</v>
      </c>
      <c r="B34" s="6" t="s">
        <v>206</v>
      </c>
      <c r="C34" s="6" t="s">
        <v>207</v>
      </c>
      <c r="D34" s="6" t="s">
        <v>208</v>
      </c>
      <c r="E34" s="6" t="s">
        <v>209</v>
      </c>
      <c r="F34" s="6" t="s">
        <v>31</v>
      </c>
      <c r="G34" s="6" t="s">
        <v>210</v>
      </c>
      <c r="H34" s="6" t="s">
        <v>211</v>
      </c>
      <c r="I34" s="6" t="s">
        <v>34</v>
      </c>
      <c r="J34" s="7" t="s">
        <v>35</v>
      </c>
      <c r="K34" s="6" t="s">
        <v>212</v>
      </c>
      <c r="L34" s="9" t="s">
        <v>52</v>
      </c>
    </row>
    <row r="35" customFormat="false" ht="15" hidden="false" customHeight="false" outlineLevel="0" collapsed="false">
      <c r="A35" s="6" t="s">
        <v>184</v>
      </c>
      <c r="B35" s="6" t="s">
        <v>213</v>
      </c>
      <c r="C35" s="6" t="s">
        <v>45</v>
      </c>
      <c r="D35" s="6" t="s">
        <v>214</v>
      </c>
      <c r="E35" s="6" t="s">
        <v>215</v>
      </c>
      <c r="F35" s="6" t="s">
        <v>31</v>
      </c>
      <c r="G35" s="6" t="s">
        <v>216</v>
      </c>
      <c r="H35" s="6" t="s">
        <v>58</v>
      </c>
      <c r="I35" s="6" t="s">
        <v>34</v>
      </c>
      <c r="J35" s="7" t="s">
        <v>35</v>
      </c>
      <c r="K35" s="6" t="s">
        <v>217</v>
      </c>
      <c r="L35" s="8" t="s">
        <v>37</v>
      </c>
    </row>
    <row r="36" customFormat="false" ht="15" hidden="false" customHeight="false" outlineLevel="0" collapsed="false">
      <c r="A36" s="6" t="s">
        <v>184</v>
      </c>
      <c r="B36" s="6" t="s">
        <v>218</v>
      </c>
      <c r="C36" s="6" t="s">
        <v>28</v>
      </c>
      <c r="D36" s="6" t="s">
        <v>219</v>
      </c>
      <c r="E36" s="6" t="s">
        <v>220</v>
      </c>
      <c r="F36" s="6" t="s">
        <v>56</v>
      </c>
      <c r="G36" s="6" t="s">
        <v>221</v>
      </c>
      <c r="H36" s="6" t="s">
        <v>222</v>
      </c>
      <c r="I36" s="6" t="s">
        <v>34</v>
      </c>
      <c r="J36" s="7" t="s">
        <v>35</v>
      </c>
      <c r="K36" s="6" t="s">
        <v>223</v>
      </c>
      <c r="L36" s="8" t="s">
        <v>37</v>
      </c>
    </row>
    <row r="37" customFormat="false" ht="15" hidden="false" customHeight="false" outlineLevel="0" collapsed="false">
      <c r="A37" s="6" t="s">
        <v>184</v>
      </c>
      <c r="B37" s="6" t="s">
        <v>224</v>
      </c>
      <c r="C37" s="6" t="s">
        <v>39</v>
      </c>
      <c r="D37" s="6" t="s">
        <v>225</v>
      </c>
      <c r="E37" s="6" t="s">
        <v>226</v>
      </c>
      <c r="F37" s="6" t="s">
        <v>31</v>
      </c>
      <c r="G37" s="6" t="s">
        <v>32</v>
      </c>
      <c r="H37" s="6" t="s">
        <v>227</v>
      </c>
      <c r="I37" s="6" t="s">
        <v>34</v>
      </c>
      <c r="J37" s="7" t="s">
        <v>35</v>
      </c>
      <c r="K37" s="6" t="s">
        <v>228</v>
      </c>
      <c r="L37" s="9" t="s">
        <v>52</v>
      </c>
    </row>
    <row r="38" customFormat="false" ht="15" hidden="false" customHeight="false" outlineLevel="0" collapsed="false">
      <c r="A38" s="6" t="s">
        <v>229</v>
      </c>
      <c r="B38" s="6" t="s">
        <v>230</v>
      </c>
      <c r="C38" s="6" t="s">
        <v>28</v>
      </c>
      <c r="D38" s="6" t="s">
        <v>231</v>
      </c>
      <c r="E38" s="6" t="s">
        <v>232</v>
      </c>
      <c r="F38" s="6" t="s">
        <v>31</v>
      </c>
      <c r="G38" s="6" t="s">
        <v>32</v>
      </c>
      <c r="H38" s="6" t="s">
        <v>188</v>
      </c>
      <c r="I38" s="6" t="s">
        <v>34</v>
      </c>
      <c r="J38" s="7" t="s">
        <v>35</v>
      </c>
      <c r="K38" s="6" t="s">
        <v>233</v>
      </c>
      <c r="L38" s="9" t="s">
        <v>52</v>
      </c>
    </row>
    <row r="39" customFormat="false" ht="23.85" hidden="false" customHeight="false" outlineLevel="0" collapsed="false">
      <c r="A39" s="6" t="s">
        <v>229</v>
      </c>
      <c r="B39" s="6" t="s">
        <v>185</v>
      </c>
      <c r="C39" s="6" t="s">
        <v>28</v>
      </c>
      <c r="D39" s="6" t="s">
        <v>234</v>
      </c>
      <c r="E39" s="6" t="s">
        <v>187</v>
      </c>
      <c r="F39" s="6" t="s">
        <v>31</v>
      </c>
      <c r="G39" s="6" t="s">
        <v>32</v>
      </c>
      <c r="H39" s="6" t="s">
        <v>235</v>
      </c>
      <c r="I39" s="6" t="s">
        <v>34</v>
      </c>
      <c r="J39" s="7" t="s">
        <v>35</v>
      </c>
      <c r="K39" s="6" t="s">
        <v>236</v>
      </c>
      <c r="L39" s="8" t="s">
        <v>37</v>
      </c>
    </row>
    <row r="40" customFormat="false" ht="15" hidden="false" customHeight="false" outlineLevel="0" collapsed="false">
      <c r="A40" s="6" t="s">
        <v>229</v>
      </c>
      <c r="B40" s="6" t="s">
        <v>27</v>
      </c>
      <c r="C40" s="6" t="s">
        <v>28</v>
      </c>
      <c r="D40" s="6" t="s">
        <v>237</v>
      </c>
      <c r="E40" s="6" t="s">
        <v>30</v>
      </c>
      <c r="F40" s="6" t="s">
        <v>31</v>
      </c>
      <c r="G40" s="6" t="s">
        <v>32</v>
      </c>
      <c r="H40" s="6" t="s">
        <v>160</v>
      </c>
      <c r="I40" s="6" t="s">
        <v>34</v>
      </c>
      <c r="J40" s="7" t="s">
        <v>35</v>
      </c>
      <c r="K40" s="6" t="s">
        <v>161</v>
      </c>
      <c r="L40" s="8" t="s">
        <v>37</v>
      </c>
    </row>
    <row r="41" customFormat="false" ht="15" hidden="false" customHeight="false" outlineLevel="0" collapsed="false">
      <c r="A41" s="6" t="s">
        <v>229</v>
      </c>
      <c r="B41" s="6" t="s">
        <v>238</v>
      </c>
      <c r="C41" s="6" t="s">
        <v>239</v>
      </c>
      <c r="D41" s="6" t="s">
        <v>240</v>
      </c>
      <c r="E41" s="6" t="s">
        <v>241</v>
      </c>
      <c r="F41" s="6" t="s">
        <v>56</v>
      </c>
      <c r="G41" s="6" t="s">
        <v>32</v>
      </c>
      <c r="H41" s="6" t="s">
        <v>242</v>
      </c>
      <c r="I41" s="6" t="s">
        <v>34</v>
      </c>
      <c r="J41" s="7" t="s">
        <v>35</v>
      </c>
      <c r="K41" s="6" t="s">
        <v>243</v>
      </c>
      <c r="L41" s="9" t="s">
        <v>52</v>
      </c>
    </row>
    <row r="42" customFormat="false" ht="15" hidden="false" customHeight="false" outlineLevel="0" collapsed="false">
      <c r="A42" s="6" t="s">
        <v>229</v>
      </c>
      <c r="B42" s="6" t="s">
        <v>244</v>
      </c>
      <c r="C42" s="6" t="s">
        <v>39</v>
      </c>
      <c r="D42" s="6" t="s">
        <v>245</v>
      </c>
      <c r="E42" s="6" t="s">
        <v>113</v>
      </c>
      <c r="F42" s="6" t="s">
        <v>31</v>
      </c>
      <c r="G42" s="6" t="s">
        <v>32</v>
      </c>
      <c r="H42" s="6" t="s">
        <v>246</v>
      </c>
      <c r="I42" s="6" t="s">
        <v>34</v>
      </c>
      <c r="J42" s="7" t="s">
        <v>35</v>
      </c>
      <c r="K42" s="6" t="s">
        <v>247</v>
      </c>
      <c r="L42" s="9" t="s">
        <v>52</v>
      </c>
    </row>
    <row r="43" customFormat="false" ht="15" hidden="false" customHeight="false" outlineLevel="0" collapsed="false">
      <c r="A43" s="6" t="s">
        <v>229</v>
      </c>
      <c r="B43" s="6" t="s">
        <v>248</v>
      </c>
      <c r="C43" s="6" t="s">
        <v>39</v>
      </c>
      <c r="D43" s="6" t="s">
        <v>249</v>
      </c>
      <c r="E43" s="6" t="s">
        <v>250</v>
      </c>
      <c r="F43" s="6" t="s">
        <v>103</v>
      </c>
      <c r="G43" s="6" t="s">
        <v>32</v>
      </c>
      <c r="H43" s="6" t="s">
        <v>251</v>
      </c>
      <c r="I43" s="6" t="s">
        <v>252</v>
      </c>
      <c r="J43" s="7" t="s">
        <v>35</v>
      </c>
      <c r="K43" s="6" t="s">
        <v>253</v>
      </c>
      <c r="L43" s="9" t="s">
        <v>52</v>
      </c>
    </row>
    <row r="44" customFormat="false" ht="15" hidden="false" customHeight="false" outlineLevel="0" collapsed="false">
      <c r="A44" s="6" t="s">
        <v>229</v>
      </c>
      <c r="B44" s="6" t="s">
        <v>254</v>
      </c>
      <c r="C44" s="6" t="s">
        <v>39</v>
      </c>
      <c r="D44" s="6" t="s">
        <v>255</v>
      </c>
      <c r="E44" s="6" t="s">
        <v>256</v>
      </c>
      <c r="F44" s="6" t="s">
        <v>103</v>
      </c>
      <c r="G44" s="6" t="s">
        <v>32</v>
      </c>
      <c r="H44" s="6" t="s">
        <v>257</v>
      </c>
      <c r="I44" s="6" t="s">
        <v>34</v>
      </c>
      <c r="J44" s="7" t="s">
        <v>35</v>
      </c>
      <c r="K44" s="6" t="s">
        <v>258</v>
      </c>
      <c r="L44" s="9" t="s">
        <v>52</v>
      </c>
    </row>
    <row r="45" customFormat="false" ht="23.85" hidden="false" customHeight="false" outlineLevel="0" collapsed="false">
      <c r="A45" s="6" t="s">
        <v>229</v>
      </c>
      <c r="B45" s="6" t="s">
        <v>259</v>
      </c>
      <c r="C45" s="6" t="s">
        <v>45</v>
      </c>
      <c r="D45" s="6" t="s">
        <v>260</v>
      </c>
      <c r="E45" s="6" t="s">
        <v>261</v>
      </c>
      <c r="F45" s="6" t="s">
        <v>31</v>
      </c>
      <c r="G45" s="6" t="s">
        <v>262</v>
      </c>
      <c r="H45" s="6" t="s">
        <v>58</v>
      </c>
      <c r="I45" s="6" t="s">
        <v>34</v>
      </c>
      <c r="J45" s="7" t="s">
        <v>35</v>
      </c>
      <c r="K45" s="6" t="s">
        <v>263</v>
      </c>
      <c r="L45" s="9" t="s">
        <v>52</v>
      </c>
    </row>
    <row r="46" customFormat="false" ht="15" hidden="false" customHeight="false" outlineLevel="0" collapsed="false">
      <c r="A46" s="6" t="s">
        <v>229</v>
      </c>
      <c r="B46" s="6" t="s">
        <v>264</v>
      </c>
      <c r="C46" s="6" t="s">
        <v>45</v>
      </c>
      <c r="D46" s="6" t="s">
        <v>265</v>
      </c>
      <c r="E46" s="6" t="s">
        <v>266</v>
      </c>
      <c r="F46" s="6" t="s">
        <v>31</v>
      </c>
      <c r="G46" s="6" t="s">
        <v>267</v>
      </c>
      <c r="H46" s="6" t="s">
        <v>58</v>
      </c>
      <c r="I46" s="6" t="s">
        <v>34</v>
      </c>
      <c r="J46" s="7" t="s">
        <v>35</v>
      </c>
      <c r="K46" s="6" t="s">
        <v>268</v>
      </c>
      <c r="L46" s="9" t="s">
        <v>52</v>
      </c>
    </row>
    <row r="47" customFormat="false" ht="15" hidden="false" customHeight="false" outlineLevel="0" collapsed="false">
      <c r="A47" s="6" t="s">
        <v>229</v>
      </c>
      <c r="B47" s="6" t="s">
        <v>269</v>
      </c>
      <c r="C47" s="6" t="s">
        <v>39</v>
      </c>
      <c r="D47" s="6" t="s">
        <v>270</v>
      </c>
      <c r="E47" s="6" t="s">
        <v>256</v>
      </c>
      <c r="F47" s="6" t="s">
        <v>103</v>
      </c>
      <c r="G47" s="6" t="s">
        <v>32</v>
      </c>
      <c r="H47" s="6" t="s">
        <v>271</v>
      </c>
      <c r="I47" s="6" t="s">
        <v>34</v>
      </c>
      <c r="J47" s="7" t="s">
        <v>35</v>
      </c>
      <c r="K47" s="6" t="s">
        <v>272</v>
      </c>
      <c r="L47" s="9" t="s">
        <v>52</v>
      </c>
    </row>
    <row r="48" customFormat="false" ht="15" hidden="false" customHeight="false" outlineLevel="0" collapsed="false">
      <c r="A48" s="6" t="s">
        <v>229</v>
      </c>
      <c r="B48" s="6" t="s">
        <v>273</v>
      </c>
      <c r="C48" s="6" t="s">
        <v>28</v>
      </c>
      <c r="D48" s="6" t="s">
        <v>274</v>
      </c>
      <c r="E48" s="6" t="s">
        <v>275</v>
      </c>
      <c r="F48" s="6" t="s">
        <v>103</v>
      </c>
      <c r="G48" s="6" t="s">
        <v>32</v>
      </c>
      <c r="H48" s="6" t="s">
        <v>276</v>
      </c>
      <c r="I48" s="6" t="s">
        <v>34</v>
      </c>
      <c r="J48" s="7" t="s">
        <v>35</v>
      </c>
      <c r="K48" s="6" t="s">
        <v>277</v>
      </c>
      <c r="L48" s="9" t="s">
        <v>52</v>
      </c>
    </row>
    <row r="49" customFormat="false" ht="15" hidden="false" customHeight="false" outlineLevel="0" collapsed="false">
      <c r="A49" s="6" t="s">
        <v>229</v>
      </c>
      <c r="B49" s="6" t="s">
        <v>278</v>
      </c>
      <c r="C49" s="6" t="s">
        <v>279</v>
      </c>
      <c r="D49" s="6" t="s">
        <v>280</v>
      </c>
      <c r="E49" s="6" t="s">
        <v>281</v>
      </c>
      <c r="F49" s="6" t="s">
        <v>103</v>
      </c>
      <c r="G49" s="6" t="s">
        <v>32</v>
      </c>
      <c r="H49" s="6" t="s">
        <v>282</v>
      </c>
      <c r="I49" s="6" t="s">
        <v>34</v>
      </c>
      <c r="J49" s="7" t="s">
        <v>35</v>
      </c>
      <c r="K49" s="6" t="s">
        <v>283</v>
      </c>
      <c r="L49" s="9" t="s">
        <v>52</v>
      </c>
    </row>
    <row r="50" customFormat="false" ht="15" hidden="false" customHeight="false" outlineLevel="0" collapsed="false">
      <c r="A50" s="6" t="s">
        <v>229</v>
      </c>
      <c r="B50" s="6" t="s">
        <v>284</v>
      </c>
      <c r="C50" s="6" t="s">
        <v>45</v>
      </c>
      <c r="D50" s="6" t="s">
        <v>285</v>
      </c>
      <c r="E50" s="6" t="s">
        <v>286</v>
      </c>
      <c r="F50" s="6" t="s">
        <v>103</v>
      </c>
      <c r="G50" s="6" t="s">
        <v>287</v>
      </c>
      <c r="H50" s="6" t="s">
        <v>288</v>
      </c>
      <c r="I50" s="6" t="s">
        <v>34</v>
      </c>
      <c r="J50" s="7" t="s">
        <v>35</v>
      </c>
      <c r="K50" s="6" t="s">
        <v>289</v>
      </c>
      <c r="L50" s="8" t="s">
        <v>37</v>
      </c>
    </row>
    <row r="51" customFormat="false" ht="35.05" hidden="false" customHeight="false" outlineLevel="0" collapsed="false">
      <c r="A51" s="6" t="s">
        <v>229</v>
      </c>
      <c r="B51" s="6" t="s">
        <v>290</v>
      </c>
      <c r="C51" s="6" t="s">
        <v>45</v>
      </c>
      <c r="D51" s="6" t="s">
        <v>291</v>
      </c>
      <c r="E51" s="6" t="s">
        <v>292</v>
      </c>
      <c r="F51" s="6" t="s">
        <v>103</v>
      </c>
      <c r="G51" s="6" t="s">
        <v>293</v>
      </c>
      <c r="H51" s="6" t="s">
        <v>294</v>
      </c>
      <c r="I51" s="6" t="s">
        <v>34</v>
      </c>
      <c r="J51" s="7" t="s">
        <v>35</v>
      </c>
      <c r="K51" s="6" t="s">
        <v>295</v>
      </c>
      <c r="L51" s="9" t="s">
        <v>52</v>
      </c>
    </row>
    <row r="52" customFormat="false" ht="15" hidden="false" customHeight="false" outlineLevel="0" collapsed="false">
      <c r="A52" s="6" t="s">
        <v>229</v>
      </c>
      <c r="B52" s="6" t="s">
        <v>296</v>
      </c>
      <c r="C52" s="6" t="s">
        <v>28</v>
      </c>
      <c r="D52" s="6" t="s">
        <v>297</v>
      </c>
      <c r="E52" s="6" t="s">
        <v>32</v>
      </c>
      <c r="F52" s="6" t="s">
        <v>56</v>
      </c>
      <c r="G52" s="6" t="s">
        <v>32</v>
      </c>
      <c r="H52" s="6" t="s">
        <v>204</v>
      </c>
      <c r="I52" s="6" t="s">
        <v>34</v>
      </c>
      <c r="J52" s="7" t="s">
        <v>35</v>
      </c>
      <c r="K52" s="6" t="s">
        <v>298</v>
      </c>
      <c r="L52" s="8" t="s">
        <v>37</v>
      </c>
    </row>
    <row r="53" customFormat="false" ht="15" hidden="false" customHeight="false" outlineLevel="0" collapsed="false">
      <c r="A53" s="6" t="s">
        <v>229</v>
      </c>
      <c r="B53" s="6" t="s">
        <v>299</v>
      </c>
      <c r="C53" s="6" t="s">
        <v>45</v>
      </c>
      <c r="D53" s="6" t="s">
        <v>300</v>
      </c>
      <c r="E53" s="6" t="s">
        <v>301</v>
      </c>
      <c r="F53" s="6" t="s">
        <v>31</v>
      </c>
      <c r="G53" s="6" t="s">
        <v>302</v>
      </c>
      <c r="H53" s="6" t="s">
        <v>58</v>
      </c>
      <c r="I53" s="6" t="s">
        <v>34</v>
      </c>
      <c r="J53" s="7" t="s">
        <v>35</v>
      </c>
      <c r="K53" s="6" t="s">
        <v>303</v>
      </c>
      <c r="L53" s="9" t="s">
        <v>52</v>
      </c>
    </row>
    <row r="54" customFormat="false" ht="15" hidden="false" customHeight="false" outlineLevel="0" collapsed="false">
      <c r="A54" s="6" t="s">
        <v>229</v>
      </c>
      <c r="B54" s="6" t="s">
        <v>304</v>
      </c>
      <c r="C54" s="6" t="s">
        <v>28</v>
      </c>
      <c r="D54" s="6" t="s">
        <v>305</v>
      </c>
      <c r="E54" s="6" t="s">
        <v>306</v>
      </c>
      <c r="F54" s="6" t="s">
        <v>56</v>
      </c>
      <c r="G54" s="6" t="s">
        <v>32</v>
      </c>
      <c r="H54" s="6" t="s">
        <v>307</v>
      </c>
      <c r="I54" s="6" t="s">
        <v>308</v>
      </c>
      <c r="J54" s="7" t="s">
        <v>35</v>
      </c>
      <c r="K54" s="6" t="s">
        <v>309</v>
      </c>
      <c r="L54" s="8" t="s">
        <v>37</v>
      </c>
    </row>
    <row r="55" customFormat="false" ht="15" hidden="false" customHeight="false" outlineLevel="0" collapsed="false">
      <c r="A55" s="6" t="s">
        <v>310</v>
      </c>
      <c r="B55" s="6" t="s">
        <v>273</v>
      </c>
      <c r="C55" s="6" t="s">
        <v>28</v>
      </c>
      <c r="D55" s="6" t="s">
        <v>311</v>
      </c>
      <c r="E55" s="6" t="s">
        <v>275</v>
      </c>
      <c r="F55" s="6" t="s">
        <v>31</v>
      </c>
      <c r="G55" s="6" t="s">
        <v>32</v>
      </c>
      <c r="H55" s="6" t="s">
        <v>188</v>
      </c>
      <c r="I55" s="6" t="s">
        <v>34</v>
      </c>
      <c r="J55" s="7" t="s">
        <v>35</v>
      </c>
      <c r="K55" s="6" t="s">
        <v>233</v>
      </c>
      <c r="L55" s="9" t="s">
        <v>52</v>
      </c>
    </row>
    <row r="56" customFormat="false" ht="15" hidden="false" customHeight="false" outlineLevel="0" collapsed="false">
      <c r="A56" s="6" t="s">
        <v>310</v>
      </c>
      <c r="B56" s="6" t="s">
        <v>27</v>
      </c>
      <c r="C56" s="6" t="s">
        <v>28</v>
      </c>
      <c r="D56" s="6" t="s">
        <v>312</v>
      </c>
      <c r="E56" s="6" t="s">
        <v>30</v>
      </c>
      <c r="F56" s="6" t="s">
        <v>31</v>
      </c>
      <c r="G56" s="6" t="s">
        <v>32</v>
      </c>
      <c r="H56" s="6" t="s">
        <v>160</v>
      </c>
      <c r="I56" s="6" t="s">
        <v>34</v>
      </c>
      <c r="J56" s="7" t="s">
        <v>35</v>
      </c>
      <c r="K56" s="6" t="s">
        <v>161</v>
      </c>
      <c r="L56" s="8" t="s">
        <v>37</v>
      </c>
    </row>
    <row r="57" customFormat="false" ht="15" hidden="false" customHeight="false" outlineLevel="0" collapsed="false">
      <c r="A57" s="6" t="s">
        <v>310</v>
      </c>
      <c r="B57" s="6" t="s">
        <v>230</v>
      </c>
      <c r="C57" s="6" t="s">
        <v>28</v>
      </c>
      <c r="D57" s="6" t="s">
        <v>313</v>
      </c>
      <c r="E57" s="6" t="s">
        <v>232</v>
      </c>
      <c r="F57" s="6" t="s">
        <v>56</v>
      </c>
      <c r="G57" s="6" t="s">
        <v>32</v>
      </c>
      <c r="H57" s="6" t="s">
        <v>314</v>
      </c>
      <c r="I57" s="6" t="s">
        <v>34</v>
      </c>
      <c r="J57" s="7" t="s">
        <v>35</v>
      </c>
      <c r="K57" s="6" t="s">
        <v>315</v>
      </c>
      <c r="L57" s="9" t="s">
        <v>52</v>
      </c>
    </row>
    <row r="58" customFormat="false" ht="15" hidden="false" customHeight="false" outlineLevel="0" collapsed="false">
      <c r="A58" s="6" t="s">
        <v>310</v>
      </c>
      <c r="B58" s="6" t="s">
        <v>316</v>
      </c>
      <c r="C58" s="6" t="s">
        <v>45</v>
      </c>
      <c r="D58" s="6" t="s">
        <v>317</v>
      </c>
      <c r="E58" s="6" t="s">
        <v>318</v>
      </c>
      <c r="F58" s="6" t="s">
        <v>31</v>
      </c>
      <c r="G58" s="6" t="s">
        <v>199</v>
      </c>
      <c r="H58" s="6" t="s">
        <v>58</v>
      </c>
      <c r="I58" s="6" t="s">
        <v>34</v>
      </c>
      <c r="J58" s="7" t="s">
        <v>35</v>
      </c>
      <c r="K58" s="6" t="s">
        <v>319</v>
      </c>
      <c r="L58" s="9" t="s">
        <v>52</v>
      </c>
    </row>
    <row r="59" customFormat="false" ht="15" hidden="false" customHeight="false" outlineLevel="0" collapsed="false">
      <c r="A59" s="6" t="s">
        <v>310</v>
      </c>
      <c r="B59" s="6" t="s">
        <v>278</v>
      </c>
      <c r="C59" s="6" t="s">
        <v>279</v>
      </c>
      <c r="D59" s="6" t="s">
        <v>320</v>
      </c>
      <c r="E59" s="6" t="s">
        <v>281</v>
      </c>
      <c r="F59" s="6" t="s">
        <v>31</v>
      </c>
      <c r="G59" s="6" t="s">
        <v>32</v>
      </c>
      <c r="H59" s="6" t="s">
        <v>321</v>
      </c>
      <c r="I59" s="6" t="s">
        <v>34</v>
      </c>
      <c r="J59" s="7" t="s">
        <v>35</v>
      </c>
      <c r="K59" s="6" t="s">
        <v>322</v>
      </c>
      <c r="L59" s="9" t="s">
        <v>52</v>
      </c>
    </row>
    <row r="60" customFormat="false" ht="15" hidden="false" customHeight="false" outlineLevel="0" collapsed="false">
      <c r="A60" s="6" t="s">
        <v>310</v>
      </c>
      <c r="B60" s="6" t="s">
        <v>284</v>
      </c>
      <c r="C60" s="6" t="s">
        <v>45</v>
      </c>
      <c r="D60" s="6" t="s">
        <v>285</v>
      </c>
      <c r="E60" s="6" t="s">
        <v>286</v>
      </c>
      <c r="F60" s="6" t="s">
        <v>31</v>
      </c>
      <c r="G60" s="6" t="s">
        <v>287</v>
      </c>
      <c r="H60" s="6" t="s">
        <v>58</v>
      </c>
      <c r="I60" s="6" t="s">
        <v>34</v>
      </c>
      <c r="J60" s="7" t="s">
        <v>35</v>
      </c>
      <c r="K60" s="6" t="s">
        <v>289</v>
      </c>
      <c r="L60" s="8" t="s">
        <v>37</v>
      </c>
    </row>
    <row r="61" customFormat="false" ht="15" hidden="false" customHeight="false" outlineLevel="0" collapsed="false">
      <c r="A61" s="6" t="s">
        <v>310</v>
      </c>
      <c r="B61" s="6" t="s">
        <v>323</v>
      </c>
      <c r="C61" s="6" t="s">
        <v>45</v>
      </c>
      <c r="D61" s="6" t="s">
        <v>324</v>
      </c>
      <c r="E61" s="6" t="s">
        <v>325</v>
      </c>
      <c r="F61" s="6" t="s">
        <v>31</v>
      </c>
      <c r="G61" s="6" t="s">
        <v>326</v>
      </c>
      <c r="H61" s="6" t="s">
        <v>58</v>
      </c>
      <c r="I61" s="6" t="s">
        <v>34</v>
      </c>
      <c r="J61" s="7" t="s">
        <v>35</v>
      </c>
      <c r="K61" s="6" t="s">
        <v>327</v>
      </c>
      <c r="L61" s="9" t="s">
        <v>52</v>
      </c>
    </row>
    <row r="62" customFormat="false" ht="15" hidden="false" customHeight="false" outlineLevel="0" collapsed="false">
      <c r="A62" s="6" t="s">
        <v>310</v>
      </c>
      <c r="B62" s="6" t="s">
        <v>328</v>
      </c>
      <c r="C62" s="6" t="s">
        <v>45</v>
      </c>
      <c r="D62" s="6" t="s">
        <v>329</v>
      </c>
      <c r="E62" s="6" t="s">
        <v>330</v>
      </c>
      <c r="F62" s="6" t="s">
        <v>103</v>
      </c>
      <c r="G62" s="6" t="s">
        <v>331</v>
      </c>
      <c r="H62" s="6" t="s">
        <v>332</v>
      </c>
      <c r="I62" s="6" t="s">
        <v>34</v>
      </c>
      <c r="J62" s="7" t="s">
        <v>35</v>
      </c>
      <c r="K62" s="6" t="s">
        <v>333</v>
      </c>
      <c r="L62" s="9" t="s">
        <v>52</v>
      </c>
    </row>
    <row r="63" customFormat="false" ht="15" hidden="false" customHeight="false" outlineLevel="0" collapsed="false">
      <c r="A63" s="6" t="s">
        <v>310</v>
      </c>
      <c r="B63" s="6" t="s">
        <v>224</v>
      </c>
      <c r="C63" s="6" t="s">
        <v>39</v>
      </c>
      <c r="D63" s="6" t="s">
        <v>334</v>
      </c>
      <c r="E63" s="6" t="s">
        <v>256</v>
      </c>
      <c r="F63" s="6" t="s">
        <v>31</v>
      </c>
      <c r="G63" s="6" t="s">
        <v>32</v>
      </c>
      <c r="H63" s="6" t="s">
        <v>246</v>
      </c>
      <c r="I63" s="6" t="s">
        <v>34</v>
      </c>
      <c r="J63" s="7" t="s">
        <v>35</v>
      </c>
      <c r="K63" s="6" t="s">
        <v>335</v>
      </c>
      <c r="L63" s="9" t="s">
        <v>52</v>
      </c>
    </row>
    <row r="64" customFormat="false" ht="15" hidden="false" customHeight="false" outlineLevel="0" collapsed="false">
      <c r="A64" s="6" t="s">
        <v>310</v>
      </c>
      <c r="B64" s="6" t="s">
        <v>336</v>
      </c>
      <c r="C64" s="6" t="s">
        <v>39</v>
      </c>
      <c r="D64" s="6" t="s">
        <v>337</v>
      </c>
      <c r="E64" s="6" t="s">
        <v>338</v>
      </c>
      <c r="F64" s="6" t="s">
        <v>103</v>
      </c>
      <c r="G64" s="6" t="s">
        <v>32</v>
      </c>
      <c r="H64" s="6" t="s">
        <v>339</v>
      </c>
      <c r="I64" s="6" t="s">
        <v>34</v>
      </c>
      <c r="J64" s="7" t="s">
        <v>35</v>
      </c>
      <c r="K64" s="6" t="s">
        <v>340</v>
      </c>
      <c r="L64" s="9" t="s">
        <v>52</v>
      </c>
    </row>
    <row r="65" customFormat="false" ht="15" hidden="false" customHeight="false" outlineLevel="0" collapsed="false">
      <c r="A65" s="6" t="s">
        <v>310</v>
      </c>
      <c r="B65" s="6" t="s">
        <v>341</v>
      </c>
      <c r="C65" s="6" t="s">
        <v>39</v>
      </c>
      <c r="D65" s="6" t="s">
        <v>342</v>
      </c>
      <c r="E65" s="6" t="s">
        <v>343</v>
      </c>
      <c r="F65" s="6" t="s">
        <v>103</v>
      </c>
      <c r="G65" s="6" t="s">
        <v>32</v>
      </c>
      <c r="H65" s="6" t="s">
        <v>344</v>
      </c>
      <c r="I65" s="6" t="s">
        <v>34</v>
      </c>
      <c r="J65" s="7" t="s">
        <v>35</v>
      </c>
      <c r="K65" s="6" t="s">
        <v>345</v>
      </c>
      <c r="L65" s="9" t="s">
        <v>52</v>
      </c>
    </row>
    <row r="66" customFormat="false" ht="15" hidden="false" customHeight="false" outlineLevel="0" collapsed="false">
      <c r="A66" s="6" t="s">
        <v>310</v>
      </c>
      <c r="B66" s="6" t="s">
        <v>346</v>
      </c>
      <c r="C66" s="6" t="s">
        <v>28</v>
      </c>
      <c r="D66" s="6" t="s">
        <v>347</v>
      </c>
      <c r="E66" s="6" t="s">
        <v>275</v>
      </c>
      <c r="F66" s="6" t="s">
        <v>103</v>
      </c>
      <c r="G66" s="6" t="s">
        <v>32</v>
      </c>
      <c r="H66" s="6" t="s">
        <v>348</v>
      </c>
      <c r="I66" s="6" t="s">
        <v>34</v>
      </c>
      <c r="J66" s="7" t="s">
        <v>35</v>
      </c>
      <c r="K66" s="6" t="s">
        <v>349</v>
      </c>
      <c r="L66" s="9" t="s">
        <v>52</v>
      </c>
    </row>
    <row r="67" customFormat="false" ht="15" hidden="false" customHeight="false" outlineLevel="0" collapsed="false">
      <c r="A67" s="6" t="s">
        <v>310</v>
      </c>
      <c r="B67" s="6" t="s">
        <v>350</v>
      </c>
      <c r="C67" s="6" t="s">
        <v>28</v>
      </c>
      <c r="D67" s="6" t="s">
        <v>351</v>
      </c>
      <c r="E67" s="6" t="s">
        <v>352</v>
      </c>
      <c r="F67" s="6" t="s">
        <v>103</v>
      </c>
      <c r="G67" s="6" t="s">
        <v>32</v>
      </c>
      <c r="H67" s="6" t="s">
        <v>353</v>
      </c>
      <c r="I67" s="6" t="s">
        <v>34</v>
      </c>
      <c r="J67" s="7" t="s">
        <v>35</v>
      </c>
      <c r="K67" s="6" t="s">
        <v>354</v>
      </c>
      <c r="L67" s="9" t="s">
        <v>52</v>
      </c>
    </row>
    <row r="68" customFormat="false" ht="15" hidden="false" customHeight="false" outlineLevel="0" collapsed="false">
      <c r="A68" s="6" t="s">
        <v>310</v>
      </c>
      <c r="B68" s="6" t="s">
        <v>355</v>
      </c>
      <c r="C68" s="6" t="s">
        <v>45</v>
      </c>
      <c r="D68" s="6" t="s">
        <v>356</v>
      </c>
      <c r="E68" s="6" t="s">
        <v>357</v>
      </c>
      <c r="F68" s="6" t="s">
        <v>103</v>
      </c>
      <c r="G68" s="6" t="s">
        <v>181</v>
      </c>
      <c r="H68" s="6" t="s">
        <v>358</v>
      </c>
      <c r="I68" s="6" t="s">
        <v>34</v>
      </c>
      <c r="J68" s="7" t="s">
        <v>35</v>
      </c>
      <c r="K68" s="6" t="s">
        <v>359</v>
      </c>
      <c r="L68" s="8" t="s">
        <v>37</v>
      </c>
    </row>
    <row r="69" customFormat="false" ht="15" hidden="false" customHeight="false" outlineLevel="0" collapsed="false">
      <c r="A69" s="6" t="s">
        <v>360</v>
      </c>
      <c r="B69" s="6" t="s">
        <v>361</v>
      </c>
      <c r="C69" s="6" t="s">
        <v>28</v>
      </c>
      <c r="D69" s="6" t="s">
        <v>362</v>
      </c>
      <c r="E69" s="6" t="s">
        <v>352</v>
      </c>
      <c r="F69" s="6" t="s">
        <v>31</v>
      </c>
      <c r="G69" s="6" t="s">
        <v>32</v>
      </c>
      <c r="H69" s="6" t="s">
        <v>363</v>
      </c>
      <c r="I69" s="6" t="s">
        <v>34</v>
      </c>
      <c r="J69" s="7" t="s">
        <v>35</v>
      </c>
      <c r="K69" s="6" t="s">
        <v>364</v>
      </c>
      <c r="L69" s="8" t="s">
        <v>37</v>
      </c>
    </row>
    <row r="70" customFormat="false" ht="15" hidden="false" customHeight="false" outlineLevel="0" collapsed="false">
      <c r="A70" s="6" t="s">
        <v>360</v>
      </c>
      <c r="B70" s="6" t="s">
        <v>365</v>
      </c>
      <c r="C70" s="6" t="s">
        <v>28</v>
      </c>
      <c r="D70" s="6" t="s">
        <v>366</v>
      </c>
      <c r="E70" s="6" t="s">
        <v>367</v>
      </c>
      <c r="F70" s="6" t="s">
        <v>56</v>
      </c>
      <c r="G70" s="6" t="s">
        <v>32</v>
      </c>
      <c r="H70" s="6" t="s">
        <v>368</v>
      </c>
      <c r="I70" s="6" t="s">
        <v>34</v>
      </c>
      <c r="J70" s="7" t="s">
        <v>35</v>
      </c>
      <c r="K70" s="6" t="s">
        <v>369</v>
      </c>
      <c r="L70" s="9" t="s">
        <v>52</v>
      </c>
    </row>
    <row r="71" customFormat="false" ht="15" hidden="false" customHeight="false" outlineLevel="0" collapsed="false">
      <c r="A71" s="6" t="s">
        <v>360</v>
      </c>
      <c r="B71" s="6" t="s">
        <v>27</v>
      </c>
      <c r="C71" s="6" t="s">
        <v>28</v>
      </c>
      <c r="D71" s="6" t="s">
        <v>370</v>
      </c>
      <c r="E71" s="6" t="s">
        <v>30</v>
      </c>
      <c r="F71" s="6" t="s">
        <v>31</v>
      </c>
      <c r="G71" s="6" t="s">
        <v>32</v>
      </c>
      <c r="H71" s="6" t="s">
        <v>160</v>
      </c>
      <c r="I71" s="6" t="s">
        <v>34</v>
      </c>
      <c r="J71" s="7" t="s">
        <v>35</v>
      </c>
      <c r="K71" s="6" t="s">
        <v>161</v>
      </c>
      <c r="L71" s="8" t="s">
        <v>37</v>
      </c>
    </row>
    <row r="72" customFormat="false" ht="15" hidden="false" customHeight="false" outlineLevel="0" collapsed="false">
      <c r="A72" s="6" t="s">
        <v>360</v>
      </c>
      <c r="B72" s="6" t="s">
        <v>224</v>
      </c>
      <c r="C72" s="6" t="s">
        <v>39</v>
      </c>
      <c r="D72" s="6" t="s">
        <v>371</v>
      </c>
      <c r="E72" s="6" t="s">
        <v>338</v>
      </c>
      <c r="F72" s="6" t="s">
        <v>31</v>
      </c>
      <c r="G72" s="6" t="s">
        <v>32</v>
      </c>
      <c r="H72" s="6" t="s">
        <v>246</v>
      </c>
      <c r="I72" s="6" t="s">
        <v>34</v>
      </c>
      <c r="J72" s="7" t="s">
        <v>35</v>
      </c>
      <c r="K72" s="6" t="s">
        <v>372</v>
      </c>
      <c r="L72" s="9" t="s">
        <v>52</v>
      </c>
    </row>
    <row r="73" customFormat="false" ht="15" hidden="false" customHeight="false" outlineLevel="0" collapsed="false">
      <c r="A73" s="6" t="s">
        <v>360</v>
      </c>
      <c r="B73" s="6" t="s">
        <v>254</v>
      </c>
      <c r="C73" s="6" t="s">
        <v>39</v>
      </c>
      <c r="D73" s="6" t="s">
        <v>373</v>
      </c>
      <c r="E73" s="6" t="s">
        <v>338</v>
      </c>
      <c r="F73" s="6" t="s">
        <v>103</v>
      </c>
      <c r="G73" s="6" t="s">
        <v>32</v>
      </c>
      <c r="H73" s="6" t="s">
        <v>374</v>
      </c>
      <c r="I73" s="6" t="s">
        <v>34</v>
      </c>
      <c r="J73" s="7" t="s">
        <v>35</v>
      </c>
      <c r="K73" s="6" t="s">
        <v>375</v>
      </c>
      <c r="L73" s="9" t="s">
        <v>52</v>
      </c>
    </row>
    <row r="74" customFormat="false" ht="35.05" hidden="false" customHeight="false" outlineLevel="0" collapsed="false">
      <c r="A74" s="6" t="s">
        <v>360</v>
      </c>
      <c r="B74" s="6" t="s">
        <v>376</v>
      </c>
      <c r="C74" s="6" t="s">
        <v>45</v>
      </c>
      <c r="D74" s="6" t="s">
        <v>377</v>
      </c>
      <c r="E74" s="6" t="s">
        <v>378</v>
      </c>
      <c r="F74" s="6" t="s">
        <v>31</v>
      </c>
      <c r="G74" s="6" t="s">
        <v>379</v>
      </c>
      <c r="H74" s="6" t="s">
        <v>58</v>
      </c>
      <c r="I74" s="6" t="s">
        <v>34</v>
      </c>
      <c r="J74" s="7" t="s">
        <v>35</v>
      </c>
      <c r="K74" s="6" t="s">
        <v>380</v>
      </c>
      <c r="L74" s="9" t="s">
        <v>52</v>
      </c>
    </row>
    <row r="75" customFormat="false" ht="15" hidden="false" customHeight="false" outlineLevel="0" collapsed="false">
      <c r="A75" s="6" t="s">
        <v>360</v>
      </c>
      <c r="B75" s="6" t="s">
        <v>381</v>
      </c>
      <c r="C75" s="6" t="s">
        <v>45</v>
      </c>
      <c r="D75" s="6" t="s">
        <v>382</v>
      </c>
      <c r="E75" s="6" t="s">
        <v>383</v>
      </c>
      <c r="F75" s="6" t="s">
        <v>31</v>
      </c>
      <c r="G75" s="6" t="s">
        <v>384</v>
      </c>
      <c r="H75" s="6" t="s">
        <v>385</v>
      </c>
      <c r="I75" s="6" t="s">
        <v>34</v>
      </c>
      <c r="J75" s="7" t="s">
        <v>35</v>
      </c>
      <c r="K75" s="6" t="s">
        <v>386</v>
      </c>
      <c r="L75" s="9" t="s">
        <v>52</v>
      </c>
    </row>
    <row r="76" customFormat="false" ht="15" hidden="false" customHeight="false" outlineLevel="0" collapsed="false">
      <c r="A76" s="6" t="s">
        <v>360</v>
      </c>
      <c r="B76" s="6" t="s">
        <v>387</v>
      </c>
      <c r="C76" s="6" t="s">
        <v>279</v>
      </c>
      <c r="D76" s="6" t="s">
        <v>388</v>
      </c>
      <c r="E76" s="6" t="s">
        <v>281</v>
      </c>
      <c r="F76" s="6" t="s">
        <v>31</v>
      </c>
      <c r="G76" s="6" t="s">
        <v>32</v>
      </c>
      <c r="H76" s="6" t="s">
        <v>321</v>
      </c>
      <c r="I76" s="6" t="s">
        <v>34</v>
      </c>
      <c r="J76" s="11" t="s">
        <v>389</v>
      </c>
      <c r="K76" s="6" t="s">
        <v>390</v>
      </c>
      <c r="L76" s="9" t="s">
        <v>52</v>
      </c>
    </row>
    <row r="77" customFormat="false" ht="15" hidden="false" customHeight="false" outlineLevel="0" collapsed="false">
      <c r="A77" s="6" t="s">
        <v>360</v>
      </c>
      <c r="B77" s="6" t="s">
        <v>391</v>
      </c>
      <c r="C77" s="6" t="s">
        <v>45</v>
      </c>
      <c r="D77" s="6" t="s">
        <v>392</v>
      </c>
      <c r="E77" s="6" t="s">
        <v>286</v>
      </c>
      <c r="F77" s="6" t="s">
        <v>31</v>
      </c>
      <c r="G77" s="6" t="s">
        <v>287</v>
      </c>
      <c r="H77" s="6" t="s">
        <v>393</v>
      </c>
      <c r="I77" s="6" t="s">
        <v>34</v>
      </c>
      <c r="J77" s="7" t="s">
        <v>35</v>
      </c>
      <c r="K77" s="6" t="s">
        <v>289</v>
      </c>
      <c r="L77" s="8" t="s">
        <v>37</v>
      </c>
    </row>
    <row r="78" customFormat="false" ht="15" hidden="false" customHeight="false" outlineLevel="0" collapsed="false">
      <c r="A78" s="6" t="s">
        <v>360</v>
      </c>
      <c r="B78" s="6" t="s">
        <v>259</v>
      </c>
      <c r="C78" s="6" t="s">
        <v>45</v>
      </c>
      <c r="D78" s="6" t="s">
        <v>394</v>
      </c>
      <c r="E78" s="6" t="s">
        <v>97</v>
      </c>
      <c r="F78" s="6" t="s">
        <v>31</v>
      </c>
      <c r="G78" s="6" t="s">
        <v>395</v>
      </c>
      <c r="H78" s="6" t="s">
        <v>58</v>
      </c>
      <c r="I78" s="6" t="s">
        <v>34</v>
      </c>
      <c r="J78" s="7" t="s">
        <v>35</v>
      </c>
      <c r="K78" s="6" t="s">
        <v>396</v>
      </c>
      <c r="L78" s="9" t="s">
        <v>52</v>
      </c>
    </row>
    <row r="79" customFormat="false" ht="15" hidden="false" customHeight="false" outlineLevel="0" collapsed="false">
      <c r="A79" s="6" t="s">
        <v>360</v>
      </c>
      <c r="B79" s="6" t="s">
        <v>316</v>
      </c>
      <c r="C79" s="6" t="s">
        <v>45</v>
      </c>
      <c r="D79" s="6" t="s">
        <v>397</v>
      </c>
      <c r="E79" s="6" t="s">
        <v>398</v>
      </c>
      <c r="F79" s="6" t="s">
        <v>31</v>
      </c>
      <c r="G79" s="6" t="s">
        <v>199</v>
      </c>
      <c r="H79" s="6" t="s">
        <v>58</v>
      </c>
      <c r="I79" s="6" t="s">
        <v>34</v>
      </c>
      <c r="J79" s="7" t="s">
        <v>35</v>
      </c>
      <c r="K79" s="6" t="s">
        <v>399</v>
      </c>
      <c r="L79" s="9" t="s">
        <v>52</v>
      </c>
    </row>
    <row r="80" customFormat="false" ht="15" hidden="false" customHeight="false" outlineLevel="0" collapsed="false">
      <c r="A80" s="6" t="s">
        <v>360</v>
      </c>
      <c r="B80" s="6" t="s">
        <v>400</v>
      </c>
      <c r="C80" s="6" t="s">
        <v>28</v>
      </c>
      <c r="D80" s="6" t="s">
        <v>401</v>
      </c>
      <c r="E80" s="6" t="s">
        <v>275</v>
      </c>
      <c r="F80" s="6" t="s">
        <v>31</v>
      </c>
      <c r="G80" s="6" t="s">
        <v>32</v>
      </c>
      <c r="H80" s="6" t="s">
        <v>402</v>
      </c>
      <c r="I80" s="6" t="s">
        <v>34</v>
      </c>
      <c r="J80" s="7" t="s">
        <v>35</v>
      </c>
      <c r="K80" s="6" t="s">
        <v>403</v>
      </c>
      <c r="L80" s="9" t="s">
        <v>52</v>
      </c>
    </row>
    <row r="81" customFormat="false" ht="15" hidden="false" customHeight="false" outlineLevel="0" collapsed="false">
      <c r="A81" s="6" t="s">
        <v>360</v>
      </c>
      <c r="B81" s="6" t="s">
        <v>404</v>
      </c>
      <c r="C81" s="6" t="s">
        <v>28</v>
      </c>
      <c r="D81" s="6" t="s">
        <v>405</v>
      </c>
      <c r="E81" s="6" t="s">
        <v>406</v>
      </c>
      <c r="F81" s="6" t="s">
        <v>103</v>
      </c>
      <c r="G81" s="6" t="s">
        <v>32</v>
      </c>
      <c r="H81" s="6" t="s">
        <v>407</v>
      </c>
      <c r="I81" s="6" t="s">
        <v>34</v>
      </c>
      <c r="J81" s="7" t="s">
        <v>35</v>
      </c>
      <c r="K81" s="6" t="s">
        <v>349</v>
      </c>
      <c r="L81" s="9" t="s">
        <v>52</v>
      </c>
    </row>
    <row r="82" customFormat="false" ht="15" hidden="false" customHeight="false" outlineLevel="0" collapsed="false">
      <c r="A82" s="6" t="s">
        <v>360</v>
      </c>
      <c r="B82" s="6" t="s">
        <v>408</v>
      </c>
      <c r="C82" s="6" t="s">
        <v>28</v>
      </c>
      <c r="D82" s="6" t="s">
        <v>409</v>
      </c>
      <c r="E82" s="6" t="s">
        <v>410</v>
      </c>
      <c r="F82" s="6" t="s">
        <v>103</v>
      </c>
      <c r="G82" s="6" t="s">
        <v>32</v>
      </c>
      <c r="H82" s="6" t="s">
        <v>411</v>
      </c>
      <c r="I82" s="6" t="s">
        <v>34</v>
      </c>
      <c r="J82" s="7" t="s">
        <v>35</v>
      </c>
      <c r="K82" s="6" t="s">
        <v>412</v>
      </c>
      <c r="L82" s="9" t="s">
        <v>52</v>
      </c>
    </row>
    <row r="83" customFormat="false" ht="15" hidden="false" customHeight="false" outlineLevel="0" collapsed="false">
      <c r="A83" s="6" t="s">
        <v>360</v>
      </c>
      <c r="B83" s="6" t="s">
        <v>413</v>
      </c>
      <c r="C83" s="6" t="s">
        <v>279</v>
      </c>
      <c r="D83" s="6" t="s">
        <v>414</v>
      </c>
      <c r="E83" s="6" t="s">
        <v>415</v>
      </c>
      <c r="F83" s="6" t="s">
        <v>56</v>
      </c>
      <c r="G83" s="6" t="s">
        <v>32</v>
      </c>
      <c r="H83" s="6" t="s">
        <v>416</v>
      </c>
      <c r="I83" s="6" t="s">
        <v>34</v>
      </c>
      <c r="J83" s="11" t="s">
        <v>389</v>
      </c>
      <c r="K83" s="6" t="s">
        <v>417</v>
      </c>
      <c r="L83" s="8" t="s">
        <v>37</v>
      </c>
    </row>
    <row r="84" customFormat="false" ht="15" hidden="false" customHeight="false" outlineLevel="0" collapsed="false">
      <c r="A84" s="6" t="s">
        <v>418</v>
      </c>
      <c r="B84" s="6" t="s">
        <v>419</v>
      </c>
      <c r="C84" s="6" t="s">
        <v>28</v>
      </c>
      <c r="D84" s="6" t="s">
        <v>420</v>
      </c>
      <c r="E84" s="6" t="s">
        <v>421</v>
      </c>
      <c r="F84" s="6" t="s">
        <v>31</v>
      </c>
      <c r="G84" s="6" t="s">
        <v>32</v>
      </c>
      <c r="H84" s="6" t="s">
        <v>188</v>
      </c>
      <c r="I84" s="6" t="s">
        <v>34</v>
      </c>
      <c r="J84" s="7" t="s">
        <v>35</v>
      </c>
      <c r="K84" s="6" t="s">
        <v>233</v>
      </c>
      <c r="L84" s="8" t="s">
        <v>37</v>
      </c>
    </row>
    <row r="85" customFormat="false" ht="15" hidden="false" customHeight="false" outlineLevel="0" collapsed="false">
      <c r="A85" s="6" t="s">
        <v>418</v>
      </c>
      <c r="B85" s="6" t="s">
        <v>27</v>
      </c>
      <c r="C85" s="6" t="s">
        <v>28</v>
      </c>
      <c r="D85" s="6" t="s">
        <v>422</v>
      </c>
      <c r="E85" s="6" t="s">
        <v>30</v>
      </c>
      <c r="F85" s="6" t="s">
        <v>31</v>
      </c>
      <c r="G85" s="6" t="s">
        <v>32</v>
      </c>
      <c r="H85" s="6" t="s">
        <v>160</v>
      </c>
      <c r="I85" s="6" t="s">
        <v>34</v>
      </c>
      <c r="J85" s="7" t="s">
        <v>35</v>
      </c>
      <c r="K85" s="6" t="s">
        <v>161</v>
      </c>
      <c r="L85" s="8" t="s">
        <v>37</v>
      </c>
    </row>
    <row r="86" customFormat="false" ht="15" hidden="false" customHeight="false" outlineLevel="0" collapsed="false">
      <c r="A86" s="6" t="s">
        <v>418</v>
      </c>
      <c r="B86" s="6" t="s">
        <v>423</v>
      </c>
      <c r="C86" s="6" t="s">
        <v>279</v>
      </c>
      <c r="D86" s="6" t="s">
        <v>424</v>
      </c>
      <c r="E86" s="6" t="s">
        <v>425</v>
      </c>
      <c r="F86" s="6" t="s">
        <v>31</v>
      </c>
      <c r="G86" s="6" t="s">
        <v>32</v>
      </c>
      <c r="H86" s="6" t="s">
        <v>321</v>
      </c>
      <c r="I86" s="6" t="s">
        <v>34</v>
      </c>
      <c r="J86" s="11" t="s">
        <v>389</v>
      </c>
      <c r="K86" s="6" t="s">
        <v>426</v>
      </c>
      <c r="L86" s="8" t="s">
        <v>37</v>
      </c>
    </row>
    <row r="87" customFormat="false" ht="15" hidden="false" customHeight="false" outlineLevel="0" collapsed="false">
      <c r="A87" s="6" t="s">
        <v>418</v>
      </c>
      <c r="B87" s="6" t="s">
        <v>427</v>
      </c>
      <c r="C87" s="6" t="s">
        <v>45</v>
      </c>
      <c r="D87" s="6" t="s">
        <v>428</v>
      </c>
      <c r="E87" s="6" t="s">
        <v>286</v>
      </c>
      <c r="F87" s="6" t="s">
        <v>31</v>
      </c>
      <c r="G87" s="6" t="s">
        <v>287</v>
      </c>
      <c r="H87" s="6" t="s">
        <v>58</v>
      </c>
      <c r="I87" s="6" t="s">
        <v>34</v>
      </c>
      <c r="J87" s="7" t="s">
        <v>35</v>
      </c>
      <c r="K87" s="6" t="s">
        <v>289</v>
      </c>
      <c r="L87" s="8" t="s">
        <v>37</v>
      </c>
    </row>
    <row r="88" customFormat="false" ht="15" hidden="false" customHeight="false" outlineLevel="0" collapsed="false">
      <c r="A88" s="6" t="s">
        <v>418</v>
      </c>
      <c r="B88" s="6" t="s">
        <v>429</v>
      </c>
      <c r="C88" s="6" t="s">
        <v>45</v>
      </c>
      <c r="D88" s="6" t="s">
        <v>430</v>
      </c>
      <c r="E88" s="6" t="s">
        <v>431</v>
      </c>
      <c r="F88" s="6" t="s">
        <v>31</v>
      </c>
      <c r="G88" s="6" t="s">
        <v>432</v>
      </c>
      <c r="H88" s="6" t="s">
        <v>58</v>
      </c>
      <c r="I88" s="6" t="s">
        <v>34</v>
      </c>
      <c r="J88" s="11" t="s">
        <v>389</v>
      </c>
      <c r="K88" s="6" t="s">
        <v>433</v>
      </c>
      <c r="L88" s="8" t="s">
        <v>37</v>
      </c>
    </row>
    <row r="89" customFormat="false" ht="15" hidden="false" customHeight="false" outlineLevel="0" collapsed="false">
      <c r="A89" s="6" t="s">
        <v>418</v>
      </c>
      <c r="B89" s="6" t="s">
        <v>434</v>
      </c>
      <c r="C89" s="6" t="s">
        <v>39</v>
      </c>
      <c r="D89" s="6" t="s">
        <v>435</v>
      </c>
      <c r="E89" s="6" t="s">
        <v>436</v>
      </c>
      <c r="F89" s="6" t="s">
        <v>31</v>
      </c>
      <c r="G89" s="6" t="s">
        <v>32</v>
      </c>
      <c r="H89" s="6" t="s">
        <v>246</v>
      </c>
      <c r="I89" s="6" t="s">
        <v>34</v>
      </c>
      <c r="J89" s="7" t="s">
        <v>35</v>
      </c>
      <c r="K89" s="6" t="s">
        <v>437</v>
      </c>
      <c r="L89" s="9" t="s">
        <v>52</v>
      </c>
    </row>
    <row r="90" customFormat="false" ht="15" hidden="false" customHeight="false" outlineLevel="0" collapsed="false">
      <c r="A90" s="6" t="s">
        <v>418</v>
      </c>
      <c r="B90" s="6" t="s">
        <v>438</v>
      </c>
      <c r="C90" s="6" t="s">
        <v>39</v>
      </c>
      <c r="D90" s="6" t="s">
        <v>439</v>
      </c>
      <c r="E90" s="6" t="s">
        <v>440</v>
      </c>
      <c r="F90" s="6" t="s">
        <v>103</v>
      </c>
      <c r="G90" s="6" t="s">
        <v>32</v>
      </c>
      <c r="H90" s="6" t="s">
        <v>441</v>
      </c>
      <c r="I90" s="6" t="s">
        <v>34</v>
      </c>
      <c r="J90" s="7" t="s">
        <v>35</v>
      </c>
      <c r="K90" s="6" t="s">
        <v>442</v>
      </c>
      <c r="L90" s="9" t="s">
        <v>52</v>
      </c>
    </row>
    <row r="91" customFormat="false" ht="15" hidden="false" customHeight="false" outlineLevel="0" collapsed="false">
      <c r="A91" s="6" t="s">
        <v>418</v>
      </c>
      <c r="B91" s="6" t="s">
        <v>443</v>
      </c>
      <c r="C91" s="6" t="s">
        <v>39</v>
      </c>
      <c r="D91" s="6" t="s">
        <v>444</v>
      </c>
      <c r="E91" s="6" t="s">
        <v>445</v>
      </c>
      <c r="F91" s="6" t="s">
        <v>103</v>
      </c>
      <c r="G91" s="6" t="s">
        <v>32</v>
      </c>
      <c r="H91" s="6" t="s">
        <v>446</v>
      </c>
      <c r="I91" s="6" t="s">
        <v>34</v>
      </c>
      <c r="J91" s="7" t="s">
        <v>35</v>
      </c>
      <c r="K91" s="6" t="s">
        <v>442</v>
      </c>
      <c r="L91" s="9" t="s">
        <v>52</v>
      </c>
    </row>
    <row r="92" customFormat="false" ht="23.85" hidden="false" customHeight="false" outlineLevel="0" collapsed="false">
      <c r="A92" s="6" t="s">
        <v>418</v>
      </c>
      <c r="B92" s="6" t="s">
        <v>259</v>
      </c>
      <c r="C92" s="6" t="s">
        <v>45</v>
      </c>
      <c r="D92" s="6" t="s">
        <v>447</v>
      </c>
      <c r="E92" s="6" t="s">
        <v>97</v>
      </c>
      <c r="F92" s="6" t="s">
        <v>31</v>
      </c>
      <c r="G92" s="6" t="s">
        <v>448</v>
      </c>
      <c r="H92" s="6" t="s">
        <v>58</v>
      </c>
      <c r="I92" s="6" t="s">
        <v>34</v>
      </c>
      <c r="J92" s="7" t="s">
        <v>35</v>
      </c>
      <c r="K92" s="6" t="s">
        <v>449</v>
      </c>
      <c r="L92" s="9" t="s">
        <v>52</v>
      </c>
    </row>
    <row r="93" customFormat="false" ht="46.25" hidden="false" customHeight="false" outlineLevel="0" collapsed="false">
      <c r="A93" s="6" t="s">
        <v>418</v>
      </c>
      <c r="B93" s="6" t="s">
        <v>355</v>
      </c>
      <c r="C93" s="6" t="s">
        <v>45</v>
      </c>
      <c r="D93" s="6" t="s">
        <v>450</v>
      </c>
      <c r="E93" s="6" t="s">
        <v>451</v>
      </c>
      <c r="F93" s="6" t="s">
        <v>103</v>
      </c>
      <c r="G93" s="6" t="s">
        <v>452</v>
      </c>
      <c r="H93" s="6" t="s">
        <v>453</v>
      </c>
      <c r="I93" s="6" t="s">
        <v>34</v>
      </c>
      <c r="J93" s="7" t="s">
        <v>35</v>
      </c>
      <c r="K93" s="6" t="s">
        <v>454</v>
      </c>
      <c r="L93" s="9" t="s">
        <v>52</v>
      </c>
    </row>
    <row r="94" customFormat="false" ht="15" hidden="false" customHeight="false" outlineLevel="0" collapsed="false">
      <c r="A94" s="6" t="s">
        <v>418</v>
      </c>
      <c r="B94" s="6" t="s">
        <v>455</v>
      </c>
      <c r="C94" s="6" t="s">
        <v>279</v>
      </c>
      <c r="D94" s="6" t="s">
        <v>456</v>
      </c>
      <c r="E94" s="6" t="s">
        <v>425</v>
      </c>
      <c r="F94" s="6" t="s">
        <v>103</v>
      </c>
      <c r="G94" s="6" t="s">
        <v>32</v>
      </c>
      <c r="H94" s="6" t="s">
        <v>374</v>
      </c>
      <c r="I94" s="6" t="s">
        <v>34</v>
      </c>
      <c r="J94" s="11" t="s">
        <v>389</v>
      </c>
      <c r="K94" s="6" t="s">
        <v>457</v>
      </c>
      <c r="L94" s="8" t="s">
        <v>37</v>
      </c>
    </row>
    <row r="95" customFormat="false" ht="15" hidden="false" customHeight="false" outlineLevel="0" collapsed="false">
      <c r="A95" s="6" t="s">
        <v>418</v>
      </c>
      <c r="B95" s="6" t="s">
        <v>350</v>
      </c>
      <c r="C95" s="6" t="s">
        <v>28</v>
      </c>
      <c r="D95" s="6" t="s">
        <v>458</v>
      </c>
      <c r="E95" s="6" t="s">
        <v>459</v>
      </c>
      <c r="F95" s="6" t="s">
        <v>103</v>
      </c>
      <c r="G95" s="6" t="s">
        <v>32</v>
      </c>
      <c r="H95" s="6" t="s">
        <v>460</v>
      </c>
      <c r="I95" s="6" t="s">
        <v>34</v>
      </c>
      <c r="J95" s="7" t="s">
        <v>35</v>
      </c>
      <c r="K95" s="6" t="s">
        <v>461</v>
      </c>
      <c r="L95" s="9" t="s">
        <v>52</v>
      </c>
    </row>
    <row r="96" customFormat="false" ht="15" hidden="false" customHeight="false" outlineLevel="0" collapsed="false">
      <c r="A96" s="6" t="s">
        <v>418</v>
      </c>
      <c r="B96" s="6" t="s">
        <v>462</v>
      </c>
      <c r="C96" s="6" t="s">
        <v>45</v>
      </c>
      <c r="D96" s="6" t="s">
        <v>463</v>
      </c>
      <c r="E96" s="6" t="s">
        <v>464</v>
      </c>
      <c r="F96" s="6" t="s">
        <v>56</v>
      </c>
      <c r="G96" s="6" t="s">
        <v>465</v>
      </c>
      <c r="H96" s="6" t="s">
        <v>58</v>
      </c>
      <c r="I96" s="6" t="s">
        <v>34</v>
      </c>
      <c r="J96" s="7" t="s">
        <v>35</v>
      </c>
      <c r="K96" s="6" t="s">
        <v>466</v>
      </c>
      <c r="L96" s="8" t="s">
        <v>37</v>
      </c>
    </row>
    <row r="97" customFormat="false" ht="15" hidden="false" customHeight="false" outlineLevel="0" collapsed="false">
      <c r="A97" s="6" t="s">
        <v>418</v>
      </c>
      <c r="B97" s="6" t="s">
        <v>467</v>
      </c>
      <c r="C97" s="6" t="s">
        <v>28</v>
      </c>
      <c r="D97" s="6" t="s">
        <v>468</v>
      </c>
      <c r="E97" s="6" t="s">
        <v>469</v>
      </c>
      <c r="F97" s="6" t="s">
        <v>56</v>
      </c>
      <c r="G97" s="6" t="s">
        <v>32</v>
      </c>
      <c r="H97" s="6" t="s">
        <v>307</v>
      </c>
      <c r="I97" s="6" t="s">
        <v>308</v>
      </c>
      <c r="J97" s="11" t="s">
        <v>389</v>
      </c>
      <c r="K97" s="6" t="s">
        <v>470</v>
      </c>
      <c r="L97" s="8" t="s">
        <v>37</v>
      </c>
    </row>
    <row r="98" customFormat="false" ht="15" hidden="false" customHeight="false" outlineLevel="0" collapsed="false">
      <c r="A98" s="6" t="s">
        <v>418</v>
      </c>
      <c r="B98" s="6" t="s">
        <v>341</v>
      </c>
      <c r="C98" s="6" t="s">
        <v>39</v>
      </c>
      <c r="D98" s="6" t="s">
        <v>471</v>
      </c>
      <c r="E98" s="6" t="s">
        <v>472</v>
      </c>
      <c r="F98" s="6" t="s">
        <v>103</v>
      </c>
      <c r="G98" s="6" t="s">
        <v>32</v>
      </c>
      <c r="H98" s="6" t="s">
        <v>344</v>
      </c>
      <c r="I98" s="6" t="s">
        <v>34</v>
      </c>
      <c r="J98" s="7" t="s">
        <v>35</v>
      </c>
      <c r="K98" s="6" t="s">
        <v>345</v>
      </c>
      <c r="L98" s="9" t="s">
        <v>52</v>
      </c>
    </row>
    <row r="99" customFormat="false" ht="15" hidden="false" customHeight="false" outlineLevel="0" collapsed="false">
      <c r="A99" s="6" t="s">
        <v>473</v>
      </c>
      <c r="B99" s="6" t="s">
        <v>474</v>
      </c>
      <c r="C99" s="6" t="s">
        <v>28</v>
      </c>
      <c r="D99" s="6" t="s">
        <v>475</v>
      </c>
      <c r="E99" s="6" t="s">
        <v>476</v>
      </c>
      <c r="F99" s="6" t="s">
        <v>31</v>
      </c>
      <c r="G99" s="6" t="s">
        <v>32</v>
      </c>
      <c r="H99" s="6" t="s">
        <v>188</v>
      </c>
      <c r="I99" s="6" t="s">
        <v>34</v>
      </c>
      <c r="J99" s="7" t="s">
        <v>35</v>
      </c>
      <c r="K99" s="6" t="s">
        <v>233</v>
      </c>
      <c r="L99" s="9" t="s">
        <v>52</v>
      </c>
    </row>
    <row r="100" customFormat="false" ht="15" hidden="false" customHeight="false" outlineLevel="0" collapsed="false">
      <c r="A100" s="6" t="s">
        <v>473</v>
      </c>
      <c r="B100" s="6" t="s">
        <v>477</v>
      </c>
      <c r="C100" s="6" t="s">
        <v>28</v>
      </c>
      <c r="D100" s="6" t="s">
        <v>478</v>
      </c>
      <c r="E100" s="6" t="s">
        <v>30</v>
      </c>
      <c r="F100" s="6" t="s">
        <v>31</v>
      </c>
      <c r="G100" s="6" t="s">
        <v>32</v>
      </c>
      <c r="H100" s="6" t="s">
        <v>160</v>
      </c>
      <c r="I100" s="6" t="s">
        <v>34</v>
      </c>
      <c r="J100" s="7" t="s">
        <v>35</v>
      </c>
      <c r="K100" s="6" t="s">
        <v>479</v>
      </c>
      <c r="L100" s="8" t="s">
        <v>37</v>
      </c>
    </row>
    <row r="101" customFormat="false" ht="15" hidden="false" customHeight="false" outlineLevel="0" collapsed="false">
      <c r="A101" s="6" t="s">
        <v>473</v>
      </c>
      <c r="B101" s="6" t="s">
        <v>480</v>
      </c>
      <c r="C101" s="6" t="s">
        <v>28</v>
      </c>
      <c r="D101" s="6" t="s">
        <v>481</v>
      </c>
      <c r="E101" s="6" t="s">
        <v>482</v>
      </c>
      <c r="F101" s="6" t="s">
        <v>103</v>
      </c>
      <c r="G101" s="6" t="s">
        <v>32</v>
      </c>
      <c r="H101" s="6" t="s">
        <v>483</v>
      </c>
      <c r="I101" s="6" t="s">
        <v>34</v>
      </c>
      <c r="J101" s="7" t="s">
        <v>35</v>
      </c>
      <c r="K101" s="6" t="s">
        <v>484</v>
      </c>
      <c r="L101" s="8" t="s">
        <v>37</v>
      </c>
    </row>
    <row r="102" customFormat="false" ht="15" hidden="false" customHeight="false" outlineLevel="0" collapsed="false">
      <c r="A102" s="6" t="s">
        <v>473</v>
      </c>
      <c r="B102" s="6" t="s">
        <v>485</v>
      </c>
      <c r="C102" s="6" t="s">
        <v>28</v>
      </c>
      <c r="D102" s="6" t="s">
        <v>486</v>
      </c>
      <c r="E102" s="6" t="s">
        <v>86</v>
      </c>
      <c r="F102" s="6" t="s">
        <v>56</v>
      </c>
      <c r="G102" s="6" t="s">
        <v>32</v>
      </c>
      <c r="H102" s="6" t="s">
        <v>487</v>
      </c>
      <c r="I102" s="6" t="s">
        <v>34</v>
      </c>
      <c r="J102" s="7" t="s">
        <v>35</v>
      </c>
      <c r="K102" s="6" t="s">
        <v>488</v>
      </c>
      <c r="L102" s="8" t="s">
        <v>37</v>
      </c>
    </row>
    <row r="103" customFormat="false" ht="15" hidden="false" customHeight="false" outlineLevel="0" collapsed="false">
      <c r="A103" s="6" t="s">
        <v>473</v>
      </c>
      <c r="B103" s="6" t="s">
        <v>224</v>
      </c>
      <c r="C103" s="6" t="s">
        <v>39</v>
      </c>
      <c r="D103" s="6" t="s">
        <v>489</v>
      </c>
      <c r="E103" s="6" t="s">
        <v>490</v>
      </c>
      <c r="F103" s="6" t="s">
        <v>31</v>
      </c>
      <c r="G103" s="6" t="s">
        <v>32</v>
      </c>
      <c r="H103" s="6" t="s">
        <v>246</v>
      </c>
      <c r="I103" s="6" t="s">
        <v>34</v>
      </c>
      <c r="J103" s="7" t="s">
        <v>35</v>
      </c>
      <c r="K103" s="6" t="s">
        <v>491</v>
      </c>
      <c r="L103" s="9" t="s">
        <v>52</v>
      </c>
    </row>
    <row r="104" customFormat="false" ht="15" hidden="false" customHeight="false" outlineLevel="0" collapsed="false">
      <c r="A104" s="6" t="s">
        <v>473</v>
      </c>
      <c r="B104" s="6" t="s">
        <v>38</v>
      </c>
      <c r="C104" s="6" t="s">
        <v>39</v>
      </c>
      <c r="D104" s="6" t="s">
        <v>492</v>
      </c>
      <c r="E104" s="6" t="s">
        <v>493</v>
      </c>
      <c r="F104" s="6" t="s">
        <v>103</v>
      </c>
      <c r="G104" s="6" t="s">
        <v>32</v>
      </c>
      <c r="H104" s="6" t="s">
        <v>494</v>
      </c>
      <c r="I104" s="6" t="s">
        <v>34</v>
      </c>
      <c r="J104" s="7" t="s">
        <v>35</v>
      </c>
      <c r="K104" s="6" t="s">
        <v>495</v>
      </c>
      <c r="L104" s="9" t="s">
        <v>52</v>
      </c>
    </row>
    <row r="105" customFormat="false" ht="15" hidden="false" customHeight="false" outlineLevel="0" collapsed="false">
      <c r="A105" s="6" t="s">
        <v>473</v>
      </c>
      <c r="B105" s="6" t="s">
        <v>496</v>
      </c>
      <c r="C105" s="6" t="s">
        <v>39</v>
      </c>
      <c r="D105" s="6" t="s">
        <v>497</v>
      </c>
      <c r="E105" s="6" t="s">
        <v>498</v>
      </c>
      <c r="F105" s="6" t="s">
        <v>103</v>
      </c>
      <c r="G105" s="6" t="s">
        <v>32</v>
      </c>
      <c r="H105" s="6" t="s">
        <v>104</v>
      </c>
      <c r="I105" s="6" t="s">
        <v>34</v>
      </c>
      <c r="J105" s="7" t="s">
        <v>35</v>
      </c>
      <c r="K105" s="6" t="s">
        <v>499</v>
      </c>
      <c r="L105" s="8" t="s">
        <v>37</v>
      </c>
    </row>
    <row r="106" customFormat="false" ht="15" hidden="false" customHeight="false" outlineLevel="0" collapsed="false">
      <c r="A106" s="6" t="s">
        <v>473</v>
      </c>
      <c r="B106" s="6" t="s">
        <v>500</v>
      </c>
      <c r="C106" s="6" t="s">
        <v>39</v>
      </c>
      <c r="D106" s="6" t="s">
        <v>501</v>
      </c>
      <c r="E106" s="6" t="s">
        <v>502</v>
      </c>
      <c r="F106" s="6" t="s">
        <v>103</v>
      </c>
      <c r="G106" s="6" t="s">
        <v>32</v>
      </c>
      <c r="H106" s="6" t="s">
        <v>503</v>
      </c>
      <c r="I106" s="6" t="s">
        <v>34</v>
      </c>
      <c r="J106" s="7" t="s">
        <v>35</v>
      </c>
      <c r="K106" s="6" t="s">
        <v>504</v>
      </c>
      <c r="L106" s="9" t="s">
        <v>52</v>
      </c>
    </row>
    <row r="107" customFormat="false" ht="15" hidden="false" customHeight="false" outlineLevel="0" collapsed="false">
      <c r="A107" s="6" t="s">
        <v>473</v>
      </c>
      <c r="B107" s="6" t="s">
        <v>259</v>
      </c>
      <c r="C107" s="6" t="s">
        <v>45</v>
      </c>
      <c r="D107" s="6" t="s">
        <v>505</v>
      </c>
      <c r="E107" s="6" t="s">
        <v>506</v>
      </c>
      <c r="F107" s="6" t="s">
        <v>31</v>
      </c>
      <c r="G107" s="6" t="s">
        <v>507</v>
      </c>
      <c r="H107" s="6" t="s">
        <v>58</v>
      </c>
      <c r="I107" s="6" t="s">
        <v>34</v>
      </c>
      <c r="J107" s="7" t="s">
        <v>35</v>
      </c>
      <c r="K107" s="6" t="s">
        <v>508</v>
      </c>
      <c r="L107" s="9" t="s">
        <v>52</v>
      </c>
    </row>
    <row r="108" customFormat="false" ht="15" hidden="false" customHeight="false" outlineLevel="0" collapsed="false">
      <c r="A108" s="6" t="s">
        <v>473</v>
      </c>
      <c r="B108" s="6" t="s">
        <v>509</v>
      </c>
      <c r="C108" s="6" t="s">
        <v>45</v>
      </c>
      <c r="D108" s="6" t="s">
        <v>510</v>
      </c>
      <c r="E108" s="6" t="s">
        <v>511</v>
      </c>
      <c r="F108" s="6" t="s">
        <v>56</v>
      </c>
      <c r="G108" s="6" t="s">
        <v>512</v>
      </c>
      <c r="H108" s="6" t="s">
        <v>58</v>
      </c>
      <c r="I108" s="6" t="s">
        <v>34</v>
      </c>
      <c r="J108" s="7" t="s">
        <v>35</v>
      </c>
      <c r="K108" s="6" t="s">
        <v>513</v>
      </c>
      <c r="L108" s="9" t="s">
        <v>52</v>
      </c>
    </row>
    <row r="109" customFormat="false" ht="15" hidden="false" customHeight="false" outlineLevel="0" collapsed="false">
      <c r="A109" s="6" t="s">
        <v>473</v>
      </c>
      <c r="B109" s="6" t="s">
        <v>514</v>
      </c>
      <c r="C109" s="6" t="s">
        <v>28</v>
      </c>
      <c r="D109" s="6" t="s">
        <v>515</v>
      </c>
      <c r="E109" s="6" t="s">
        <v>516</v>
      </c>
      <c r="F109" s="6" t="s">
        <v>56</v>
      </c>
      <c r="G109" s="6" t="s">
        <v>32</v>
      </c>
      <c r="H109" s="6" t="s">
        <v>517</v>
      </c>
      <c r="I109" s="6" t="s">
        <v>34</v>
      </c>
      <c r="J109" s="7" t="s">
        <v>35</v>
      </c>
      <c r="K109" s="6" t="s">
        <v>518</v>
      </c>
      <c r="L109" s="9" t="s">
        <v>52</v>
      </c>
    </row>
    <row r="110" customFormat="false" ht="15" hidden="false" customHeight="false" outlineLevel="0" collapsed="false">
      <c r="A110" s="6" t="s">
        <v>473</v>
      </c>
      <c r="B110" s="6" t="s">
        <v>519</v>
      </c>
      <c r="C110" s="6" t="s">
        <v>28</v>
      </c>
      <c r="D110" s="6" t="s">
        <v>520</v>
      </c>
      <c r="E110" s="6" t="s">
        <v>521</v>
      </c>
      <c r="F110" s="6" t="s">
        <v>56</v>
      </c>
      <c r="G110" s="6" t="s">
        <v>32</v>
      </c>
      <c r="H110" s="6" t="s">
        <v>276</v>
      </c>
      <c r="I110" s="6" t="s">
        <v>34</v>
      </c>
      <c r="J110" s="7" t="s">
        <v>35</v>
      </c>
      <c r="K110" s="6" t="s">
        <v>522</v>
      </c>
      <c r="L110" s="8" t="s">
        <v>37</v>
      </c>
    </row>
    <row r="111" customFormat="false" ht="15" hidden="false" customHeight="false" outlineLevel="0" collapsed="false">
      <c r="A111" s="6" t="s">
        <v>473</v>
      </c>
      <c r="B111" s="6" t="s">
        <v>523</v>
      </c>
      <c r="C111" s="6" t="s">
        <v>45</v>
      </c>
      <c r="D111" s="6" t="s">
        <v>524</v>
      </c>
      <c r="E111" s="6" t="s">
        <v>180</v>
      </c>
      <c r="F111" s="6" t="s">
        <v>103</v>
      </c>
      <c r="G111" s="6" t="s">
        <v>331</v>
      </c>
      <c r="H111" s="6" t="s">
        <v>358</v>
      </c>
      <c r="I111" s="6" t="s">
        <v>34</v>
      </c>
      <c r="J111" s="7" t="s">
        <v>35</v>
      </c>
      <c r="K111" s="6" t="s">
        <v>525</v>
      </c>
      <c r="L111" s="8" t="s">
        <v>37</v>
      </c>
    </row>
    <row r="112" customFormat="false" ht="15" hidden="false" customHeight="false" outlineLevel="0" collapsed="false">
      <c r="A112" s="6" t="s">
        <v>526</v>
      </c>
      <c r="B112" s="6" t="s">
        <v>527</v>
      </c>
      <c r="C112" s="6" t="s">
        <v>28</v>
      </c>
      <c r="D112" s="6" t="s">
        <v>528</v>
      </c>
      <c r="E112" s="6" t="s">
        <v>529</v>
      </c>
      <c r="F112" s="6" t="s">
        <v>31</v>
      </c>
      <c r="G112" s="6" t="s">
        <v>32</v>
      </c>
      <c r="H112" s="6" t="s">
        <v>530</v>
      </c>
      <c r="I112" s="6" t="s">
        <v>50</v>
      </c>
      <c r="J112" s="7" t="s">
        <v>35</v>
      </c>
      <c r="K112" s="6" t="s">
        <v>531</v>
      </c>
      <c r="L112" s="9" t="s">
        <v>52</v>
      </c>
    </row>
    <row r="113" customFormat="false" ht="15" hidden="false" customHeight="false" outlineLevel="0" collapsed="false">
      <c r="A113" s="6" t="s">
        <v>526</v>
      </c>
      <c r="B113" s="6" t="s">
        <v>532</v>
      </c>
      <c r="C113" s="6" t="s">
        <v>28</v>
      </c>
      <c r="D113" s="6" t="s">
        <v>533</v>
      </c>
      <c r="E113" s="6" t="s">
        <v>534</v>
      </c>
      <c r="F113" s="6" t="s">
        <v>31</v>
      </c>
      <c r="G113" s="6" t="s">
        <v>535</v>
      </c>
      <c r="H113" s="6" t="s">
        <v>536</v>
      </c>
      <c r="I113" s="6" t="s">
        <v>50</v>
      </c>
      <c r="J113" s="7" t="s">
        <v>35</v>
      </c>
      <c r="K113" s="6" t="s">
        <v>537</v>
      </c>
      <c r="L113" s="9" t="s">
        <v>52</v>
      </c>
    </row>
    <row r="114" customFormat="false" ht="15" hidden="false" customHeight="false" outlineLevel="0" collapsed="false">
      <c r="A114" s="6" t="s">
        <v>526</v>
      </c>
      <c r="B114" s="6" t="s">
        <v>27</v>
      </c>
      <c r="C114" s="6" t="s">
        <v>28</v>
      </c>
      <c r="D114" s="6" t="s">
        <v>538</v>
      </c>
      <c r="E114" s="6" t="s">
        <v>30</v>
      </c>
      <c r="F114" s="6" t="s">
        <v>31</v>
      </c>
      <c r="G114" s="6" t="s">
        <v>32</v>
      </c>
      <c r="H114" s="6" t="s">
        <v>160</v>
      </c>
      <c r="I114" s="6" t="s">
        <v>50</v>
      </c>
      <c r="J114" s="7" t="s">
        <v>35</v>
      </c>
      <c r="K114" s="6" t="s">
        <v>161</v>
      </c>
      <c r="L114" s="8" t="s">
        <v>37</v>
      </c>
    </row>
    <row r="115" customFormat="false" ht="15" hidden="false" customHeight="false" outlineLevel="0" collapsed="false">
      <c r="A115" s="6" t="s">
        <v>526</v>
      </c>
      <c r="B115" s="6" t="s">
        <v>539</v>
      </c>
      <c r="C115" s="6" t="s">
        <v>39</v>
      </c>
      <c r="D115" s="6" t="s">
        <v>540</v>
      </c>
      <c r="E115" s="6" t="s">
        <v>256</v>
      </c>
      <c r="F115" s="6" t="s">
        <v>31</v>
      </c>
      <c r="G115" s="6" t="s">
        <v>32</v>
      </c>
      <c r="H115" s="6" t="s">
        <v>246</v>
      </c>
      <c r="I115" s="6" t="s">
        <v>50</v>
      </c>
      <c r="J115" s="7" t="s">
        <v>35</v>
      </c>
      <c r="K115" s="6" t="s">
        <v>541</v>
      </c>
      <c r="L115" s="9" t="s">
        <v>52</v>
      </c>
    </row>
    <row r="116" customFormat="false" ht="23.85" hidden="false" customHeight="false" outlineLevel="0" collapsed="false">
      <c r="A116" s="6" t="s">
        <v>526</v>
      </c>
      <c r="B116" s="6" t="s">
        <v>542</v>
      </c>
      <c r="C116" s="6" t="s">
        <v>39</v>
      </c>
      <c r="D116" s="6" t="s">
        <v>543</v>
      </c>
      <c r="E116" s="6" t="s">
        <v>544</v>
      </c>
      <c r="F116" s="6" t="s">
        <v>31</v>
      </c>
      <c r="G116" s="6" t="s">
        <v>32</v>
      </c>
      <c r="H116" s="6" t="s">
        <v>545</v>
      </c>
      <c r="I116" s="6" t="s">
        <v>546</v>
      </c>
      <c r="J116" s="7" t="s">
        <v>35</v>
      </c>
      <c r="K116" s="6" t="s">
        <v>547</v>
      </c>
      <c r="L116" s="9" t="s">
        <v>52</v>
      </c>
    </row>
    <row r="117" customFormat="false" ht="15" hidden="false" customHeight="false" outlineLevel="0" collapsed="false">
      <c r="A117" s="6" t="s">
        <v>526</v>
      </c>
      <c r="B117" s="6" t="s">
        <v>548</v>
      </c>
      <c r="C117" s="6" t="s">
        <v>28</v>
      </c>
      <c r="D117" s="6" t="s">
        <v>549</v>
      </c>
      <c r="E117" s="6" t="s">
        <v>241</v>
      </c>
      <c r="F117" s="6" t="s">
        <v>31</v>
      </c>
      <c r="G117" s="6" t="s">
        <v>32</v>
      </c>
      <c r="H117" s="6" t="s">
        <v>550</v>
      </c>
      <c r="I117" s="6" t="s">
        <v>50</v>
      </c>
      <c r="J117" s="7" t="s">
        <v>35</v>
      </c>
      <c r="K117" s="6" t="s">
        <v>551</v>
      </c>
      <c r="L117" s="9" t="s">
        <v>52</v>
      </c>
    </row>
    <row r="118" customFormat="false" ht="15" hidden="false" customHeight="false" outlineLevel="0" collapsed="false">
      <c r="A118" s="6" t="s">
        <v>526</v>
      </c>
      <c r="B118" s="6" t="s">
        <v>60</v>
      </c>
      <c r="C118" s="6" t="s">
        <v>45</v>
      </c>
      <c r="D118" s="6" t="s">
        <v>552</v>
      </c>
      <c r="E118" s="6" t="s">
        <v>62</v>
      </c>
      <c r="F118" s="6" t="s">
        <v>31</v>
      </c>
      <c r="G118" s="6" t="s">
        <v>553</v>
      </c>
      <c r="H118" s="6" t="s">
        <v>58</v>
      </c>
      <c r="I118" s="6" t="s">
        <v>50</v>
      </c>
      <c r="J118" s="7" t="s">
        <v>35</v>
      </c>
      <c r="K118" s="6" t="s">
        <v>65</v>
      </c>
      <c r="L118" s="9" t="s">
        <v>52</v>
      </c>
    </row>
    <row r="119" customFormat="false" ht="15" hidden="false" customHeight="false" outlineLevel="0" collapsed="false">
      <c r="A119" s="6" t="s">
        <v>526</v>
      </c>
      <c r="B119" s="6" t="s">
        <v>66</v>
      </c>
      <c r="C119" s="6" t="s">
        <v>28</v>
      </c>
      <c r="D119" s="6" t="s">
        <v>554</v>
      </c>
      <c r="E119" s="6" t="s">
        <v>68</v>
      </c>
      <c r="F119" s="6" t="s">
        <v>31</v>
      </c>
      <c r="G119" s="6" t="s">
        <v>32</v>
      </c>
      <c r="H119" s="6" t="s">
        <v>555</v>
      </c>
      <c r="I119" s="6" t="s">
        <v>64</v>
      </c>
      <c r="J119" s="7" t="s">
        <v>35</v>
      </c>
      <c r="K119" s="6" t="s">
        <v>556</v>
      </c>
      <c r="L119" s="9" t="s">
        <v>52</v>
      </c>
    </row>
    <row r="120" customFormat="false" ht="15" hidden="false" customHeight="false" outlineLevel="0" collapsed="false">
      <c r="A120" s="6" t="s">
        <v>526</v>
      </c>
      <c r="B120" s="6" t="s">
        <v>299</v>
      </c>
      <c r="C120" s="6" t="s">
        <v>45</v>
      </c>
      <c r="D120" s="6" t="s">
        <v>557</v>
      </c>
      <c r="E120" s="6" t="s">
        <v>301</v>
      </c>
      <c r="F120" s="6" t="s">
        <v>31</v>
      </c>
      <c r="G120" s="6" t="s">
        <v>302</v>
      </c>
      <c r="H120" s="6" t="s">
        <v>58</v>
      </c>
      <c r="I120" s="6" t="s">
        <v>50</v>
      </c>
      <c r="J120" s="7" t="s">
        <v>35</v>
      </c>
      <c r="K120" s="6" t="s">
        <v>558</v>
      </c>
      <c r="L120" s="9" t="s">
        <v>52</v>
      </c>
    </row>
    <row r="121" customFormat="false" ht="15" hidden="false" customHeight="false" outlineLevel="0" collapsed="false">
      <c r="A121" s="6" t="s">
        <v>526</v>
      </c>
      <c r="B121" s="6" t="s">
        <v>559</v>
      </c>
      <c r="C121" s="6" t="s">
        <v>28</v>
      </c>
      <c r="D121" s="6" t="s">
        <v>560</v>
      </c>
      <c r="E121" s="6" t="s">
        <v>561</v>
      </c>
      <c r="F121" s="6" t="s">
        <v>56</v>
      </c>
      <c r="G121" s="6" t="s">
        <v>32</v>
      </c>
      <c r="H121" s="6" t="s">
        <v>562</v>
      </c>
      <c r="I121" s="6" t="s">
        <v>64</v>
      </c>
      <c r="J121" s="7" t="s">
        <v>35</v>
      </c>
      <c r="K121" s="6" t="s">
        <v>563</v>
      </c>
      <c r="L121" s="9" t="s">
        <v>52</v>
      </c>
    </row>
    <row r="122" customFormat="false" ht="15" hidden="false" customHeight="false" outlineLevel="0" collapsed="false">
      <c r="A122" s="6" t="s">
        <v>526</v>
      </c>
      <c r="B122" s="6" t="s">
        <v>196</v>
      </c>
      <c r="C122" s="6" t="s">
        <v>45</v>
      </c>
      <c r="D122" s="6" t="s">
        <v>564</v>
      </c>
      <c r="E122" s="6" t="s">
        <v>318</v>
      </c>
      <c r="F122" s="6" t="s">
        <v>31</v>
      </c>
      <c r="G122" s="6" t="s">
        <v>199</v>
      </c>
      <c r="H122" s="6" t="s">
        <v>58</v>
      </c>
      <c r="I122" s="6" t="s">
        <v>50</v>
      </c>
      <c r="J122" s="7" t="s">
        <v>35</v>
      </c>
      <c r="K122" s="6" t="s">
        <v>565</v>
      </c>
      <c r="L122" s="9" t="s">
        <v>52</v>
      </c>
    </row>
    <row r="123" customFormat="false" ht="15" hidden="false" customHeight="false" outlineLevel="0" collapsed="false">
      <c r="A123" s="6" t="s">
        <v>526</v>
      </c>
      <c r="B123" s="6" t="s">
        <v>566</v>
      </c>
      <c r="C123" s="6" t="s">
        <v>567</v>
      </c>
      <c r="D123" s="6" t="s">
        <v>568</v>
      </c>
      <c r="E123" s="6" t="s">
        <v>569</v>
      </c>
      <c r="F123" s="6" t="s">
        <v>31</v>
      </c>
      <c r="G123" s="6" t="s">
        <v>570</v>
      </c>
      <c r="H123" s="6" t="s">
        <v>571</v>
      </c>
      <c r="I123" s="6" t="s">
        <v>50</v>
      </c>
      <c r="J123" s="7" t="s">
        <v>35</v>
      </c>
      <c r="K123" s="6" t="s">
        <v>572</v>
      </c>
      <c r="L123" s="9" t="s">
        <v>52</v>
      </c>
    </row>
    <row r="124" customFormat="false" ht="15" hidden="false" customHeight="false" outlineLevel="0" collapsed="false">
      <c r="A124" s="6" t="s">
        <v>573</v>
      </c>
      <c r="B124" s="6" t="s">
        <v>574</v>
      </c>
      <c r="C124" s="6" t="s">
        <v>28</v>
      </c>
      <c r="D124" s="6" t="s">
        <v>575</v>
      </c>
      <c r="E124" s="6" t="s">
        <v>576</v>
      </c>
      <c r="F124" s="6" t="s">
        <v>31</v>
      </c>
      <c r="G124" s="6" t="s">
        <v>32</v>
      </c>
      <c r="H124" s="6" t="s">
        <v>157</v>
      </c>
      <c r="I124" s="6" t="s">
        <v>34</v>
      </c>
      <c r="J124" s="7" t="s">
        <v>35</v>
      </c>
      <c r="K124" s="6" t="s">
        <v>233</v>
      </c>
      <c r="L124" s="8" t="s">
        <v>37</v>
      </c>
    </row>
    <row r="125" customFormat="false" ht="15" hidden="false" customHeight="false" outlineLevel="0" collapsed="false">
      <c r="A125" s="6" t="s">
        <v>573</v>
      </c>
      <c r="B125" s="6" t="s">
        <v>27</v>
      </c>
      <c r="C125" s="6" t="s">
        <v>28</v>
      </c>
      <c r="D125" s="6" t="s">
        <v>577</v>
      </c>
      <c r="E125" s="6" t="s">
        <v>30</v>
      </c>
      <c r="F125" s="6" t="s">
        <v>31</v>
      </c>
      <c r="G125" s="6" t="s">
        <v>32</v>
      </c>
      <c r="H125" s="6" t="s">
        <v>160</v>
      </c>
      <c r="I125" s="6" t="s">
        <v>34</v>
      </c>
      <c r="J125" s="7" t="s">
        <v>35</v>
      </c>
      <c r="K125" s="6" t="s">
        <v>161</v>
      </c>
      <c r="L125" s="8" t="s">
        <v>37</v>
      </c>
    </row>
    <row r="126" customFormat="false" ht="15" hidden="false" customHeight="false" outlineLevel="0" collapsed="false">
      <c r="A126" s="6" t="s">
        <v>573</v>
      </c>
      <c r="B126" s="6" t="s">
        <v>578</v>
      </c>
      <c r="C126" s="6" t="s">
        <v>45</v>
      </c>
      <c r="D126" s="6" t="s">
        <v>579</v>
      </c>
      <c r="E126" s="6" t="s">
        <v>580</v>
      </c>
      <c r="F126" s="6" t="s">
        <v>31</v>
      </c>
      <c r="G126" s="6" t="s">
        <v>331</v>
      </c>
      <c r="H126" s="6" t="s">
        <v>581</v>
      </c>
      <c r="I126" s="6" t="s">
        <v>34</v>
      </c>
      <c r="J126" s="7" t="s">
        <v>35</v>
      </c>
      <c r="K126" s="6" t="s">
        <v>582</v>
      </c>
      <c r="L126" s="8" t="s">
        <v>37</v>
      </c>
    </row>
    <row r="127" customFormat="false" ht="15" hidden="false" customHeight="false" outlineLevel="0" collapsed="false">
      <c r="A127" s="6" t="s">
        <v>573</v>
      </c>
      <c r="B127" s="6" t="s">
        <v>224</v>
      </c>
      <c r="C127" s="6" t="s">
        <v>39</v>
      </c>
      <c r="D127" s="6" t="s">
        <v>583</v>
      </c>
      <c r="E127" s="6" t="s">
        <v>584</v>
      </c>
      <c r="F127" s="6" t="s">
        <v>31</v>
      </c>
      <c r="G127" s="6" t="s">
        <v>32</v>
      </c>
      <c r="H127" s="6" t="s">
        <v>246</v>
      </c>
      <c r="I127" s="6" t="s">
        <v>34</v>
      </c>
      <c r="J127" s="7" t="s">
        <v>35</v>
      </c>
      <c r="K127" s="6" t="s">
        <v>585</v>
      </c>
      <c r="L127" s="8" t="s">
        <v>37</v>
      </c>
    </row>
    <row r="128" customFormat="false" ht="15" hidden="false" customHeight="false" outlineLevel="0" collapsed="false">
      <c r="A128" s="6" t="s">
        <v>573</v>
      </c>
      <c r="B128" s="6" t="s">
        <v>586</v>
      </c>
      <c r="C128" s="6" t="s">
        <v>39</v>
      </c>
      <c r="D128" s="6" t="s">
        <v>587</v>
      </c>
      <c r="E128" s="6" t="s">
        <v>588</v>
      </c>
      <c r="F128" s="6" t="s">
        <v>103</v>
      </c>
      <c r="G128" s="6" t="s">
        <v>32</v>
      </c>
      <c r="H128" s="6" t="s">
        <v>494</v>
      </c>
      <c r="I128" s="6" t="s">
        <v>34</v>
      </c>
      <c r="J128" s="7" t="s">
        <v>35</v>
      </c>
      <c r="K128" s="6" t="s">
        <v>589</v>
      </c>
      <c r="L128" s="8" t="s">
        <v>37</v>
      </c>
    </row>
    <row r="129" customFormat="false" ht="15" hidden="false" customHeight="false" outlineLevel="0" collapsed="false">
      <c r="A129" s="6" t="s">
        <v>573</v>
      </c>
      <c r="B129" s="6" t="s">
        <v>590</v>
      </c>
      <c r="C129" s="6" t="s">
        <v>45</v>
      </c>
      <c r="D129" s="6" t="s">
        <v>591</v>
      </c>
      <c r="E129" s="6" t="s">
        <v>592</v>
      </c>
      <c r="F129" s="6" t="s">
        <v>31</v>
      </c>
      <c r="G129" s="6" t="s">
        <v>593</v>
      </c>
      <c r="H129" s="6" t="s">
        <v>58</v>
      </c>
      <c r="I129" s="6" t="s">
        <v>34</v>
      </c>
      <c r="J129" s="7" t="s">
        <v>35</v>
      </c>
      <c r="K129" s="6" t="s">
        <v>594</v>
      </c>
      <c r="L129" s="8" t="s">
        <v>37</v>
      </c>
    </row>
  </sheetData>
  <autoFilter ref="A1:L1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5" t="s">
        <v>14</v>
      </c>
      <c r="B1" s="5" t="s">
        <v>595</v>
      </c>
      <c r="C1" s="5" t="s">
        <v>596</v>
      </c>
      <c r="D1" s="5" t="s">
        <v>597</v>
      </c>
      <c r="E1" s="5" t="s">
        <v>598</v>
      </c>
    </row>
    <row r="2" customFormat="false" ht="15" hidden="false" customHeight="false" outlineLevel="0" collapsed="false">
      <c r="A2" s="6" t="s">
        <v>26</v>
      </c>
      <c r="B2" s="6" t="s">
        <v>599</v>
      </c>
      <c r="C2" s="6" t="s">
        <v>27</v>
      </c>
      <c r="D2" s="6" t="s">
        <v>600</v>
      </c>
      <c r="E2" s="6" t="n">
        <f aca="false">COUNTIF(Data_Dictionary!A:A,A2)</f>
        <v>21</v>
      </c>
    </row>
    <row r="3" customFormat="false" ht="15" hidden="false" customHeight="false" outlineLevel="0" collapsed="false">
      <c r="A3" s="6" t="s">
        <v>153</v>
      </c>
      <c r="B3" s="6" t="s">
        <v>601</v>
      </c>
      <c r="C3" s="6" t="s">
        <v>154</v>
      </c>
      <c r="D3" s="6" t="s">
        <v>600</v>
      </c>
      <c r="E3" s="6" t="n">
        <f aca="false">COUNTIF(Data_Dictionary!A:A,A3)</f>
        <v>7</v>
      </c>
    </row>
    <row r="4" customFormat="false" ht="15" hidden="false" customHeight="false" outlineLevel="0" collapsed="false">
      <c r="A4" s="6" t="s">
        <v>184</v>
      </c>
      <c r="B4" s="6" t="s">
        <v>602</v>
      </c>
      <c r="C4" s="6" t="s">
        <v>185</v>
      </c>
      <c r="D4" s="6" t="s">
        <v>600</v>
      </c>
      <c r="E4" s="6" t="n">
        <f aca="false">COUNTIF(Data_Dictionary!A:A,A4)</f>
        <v>8</v>
      </c>
    </row>
    <row r="5" customFormat="false" ht="15" hidden="false" customHeight="false" outlineLevel="0" collapsed="false">
      <c r="A5" s="6" t="s">
        <v>229</v>
      </c>
      <c r="B5" s="6" t="s">
        <v>603</v>
      </c>
      <c r="C5" s="6" t="s">
        <v>230</v>
      </c>
      <c r="D5" s="6" t="s">
        <v>600</v>
      </c>
      <c r="E5" s="6" t="n">
        <f aca="false">COUNTIF(Data_Dictionary!A:A,A5)</f>
        <v>17</v>
      </c>
    </row>
    <row r="6" customFormat="false" ht="15" hidden="false" customHeight="false" outlineLevel="0" collapsed="false">
      <c r="A6" s="6" t="s">
        <v>310</v>
      </c>
      <c r="B6" s="6" t="s">
        <v>604</v>
      </c>
      <c r="C6" s="6" t="s">
        <v>273</v>
      </c>
      <c r="D6" s="6" t="s">
        <v>600</v>
      </c>
      <c r="E6" s="6" t="n">
        <f aca="false">COUNTIF(Data_Dictionary!A:A,A6)</f>
        <v>14</v>
      </c>
    </row>
    <row r="7" customFormat="false" ht="15" hidden="false" customHeight="false" outlineLevel="0" collapsed="false">
      <c r="A7" s="6" t="s">
        <v>360</v>
      </c>
      <c r="B7" s="6" t="s">
        <v>605</v>
      </c>
      <c r="C7" s="6" t="s">
        <v>361</v>
      </c>
      <c r="D7" s="6" t="s">
        <v>600</v>
      </c>
      <c r="E7" s="6" t="n">
        <f aca="false">COUNTIF(Data_Dictionary!A:A,A7)</f>
        <v>15</v>
      </c>
    </row>
    <row r="8" customFormat="false" ht="15" hidden="false" customHeight="false" outlineLevel="0" collapsed="false">
      <c r="A8" s="6" t="s">
        <v>418</v>
      </c>
      <c r="B8" s="6" t="s">
        <v>606</v>
      </c>
      <c r="C8" s="6" t="s">
        <v>419</v>
      </c>
      <c r="D8" s="6" t="s">
        <v>600</v>
      </c>
      <c r="E8" s="6" t="n">
        <f aca="false">COUNTIF(Data_Dictionary!A:A,A8)</f>
        <v>15</v>
      </c>
    </row>
    <row r="9" customFormat="false" ht="15" hidden="false" customHeight="false" outlineLevel="0" collapsed="false">
      <c r="A9" s="6" t="s">
        <v>473</v>
      </c>
      <c r="B9" s="6" t="s">
        <v>607</v>
      </c>
      <c r="C9" s="6" t="s">
        <v>474</v>
      </c>
      <c r="D9" s="6" t="s">
        <v>600</v>
      </c>
      <c r="E9" s="6" t="n">
        <f aca="false">COUNTIF(Data_Dictionary!A:A,A9)</f>
        <v>13</v>
      </c>
    </row>
    <row r="10" customFormat="false" ht="15" hidden="false" customHeight="false" outlineLevel="0" collapsed="false">
      <c r="A10" s="6" t="s">
        <v>526</v>
      </c>
      <c r="B10" s="6" t="s">
        <v>608</v>
      </c>
      <c r="C10" s="6" t="s">
        <v>527</v>
      </c>
      <c r="D10" s="6" t="s">
        <v>600</v>
      </c>
      <c r="E10" s="6" t="n">
        <f aca="false">COUNTIF(Data_Dictionary!A:A,A10)</f>
        <v>12</v>
      </c>
    </row>
    <row r="11" customFormat="false" ht="15" hidden="false" customHeight="false" outlineLevel="0" collapsed="false">
      <c r="A11" s="6" t="s">
        <v>573</v>
      </c>
      <c r="B11" s="6" t="s">
        <v>609</v>
      </c>
      <c r="C11" s="6" t="s">
        <v>574</v>
      </c>
      <c r="D11" s="6" t="s">
        <v>610</v>
      </c>
      <c r="E11" s="6" t="n">
        <f aca="false">COUNTIF(Data_Dictionary!A:A,A11)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5" t="s">
        <v>611</v>
      </c>
      <c r="B1" s="5" t="s">
        <v>612</v>
      </c>
      <c r="C1" s="5" t="s">
        <v>613</v>
      </c>
    </row>
    <row r="2" customFormat="false" ht="15" hidden="false" customHeight="false" outlineLevel="0" collapsed="false">
      <c r="A2" s="6" t="s">
        <v>194</v>
      </c>
      <c r="B2" s="6" t="s">
        <v>614</v>
      </c>
      <c r="C2" s="6" t="s">
        <v>615</v>
      </c>
    </row>
    <row r="3" customFormat="false" ht="15" hidden="false" customHeight="false" outlineLevel="0" collapsed="false">
      <c r="A3" s="6" t="s">
        <v>35</v>
      </c>
      <c r="B3" s="6" t="s">
        <v>616</v>
      </c>
      <c r="C3" s="6" t="s">
        <v>617</v>
      </c>
    </row>
    <row r="4" customFormat="false" ht="15" hidden="false" customHeight="false" outlineLevel="0" collapsed="false">
      <c r="A4" s="6" t="s">
        <v>389</v>
      </c>
      <c r="B4" s="6" t="s">
        <v>618</v>
      </c>
      <c r="C4" s="6" t="s">
        <v>619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2026-10-08T11:06:20Z</dcterms:created>
  <dc:creator>openpyxl</dc:creator>
  <dc:description/>
  <dc:language>en-US</dc:language>
  <cp:lastModifiedBy/>
  <dcterms:modified xsi:type="dcterms:W3CDTF">2026-10-08T11:06:20Z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