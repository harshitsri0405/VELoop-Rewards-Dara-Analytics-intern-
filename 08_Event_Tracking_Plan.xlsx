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vent_Catalogue" sheetId="2" state="visible" r:id="rId4"/>
    <sheet name="Common_Envelope" sheetId="3" state="visible" r:id="rId5"/>
    <sheet name="Naming_Standard" sheetId="4" state="visible" r:id="rId6"/>
    <sheet name="Brief_Coverage" sheetId="5" state="visible" r:id="rId7"/>
  </sheets>
  <definedNames>
    <definedName function="false" hidden="true" localSheetId="1" name="_xlnm._FilterDatabase" vbProcedure="false">Event_Catalogue!$A$1:$Q$43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<sst xmlns="http://schemas.openxmlformats.org/spreadsheetml/2006/main" count="836" uniqueCount="460">
  <si>
    <t xml:space="preserve">VELOOP REWARDS - Task 01 | Work Package F: Production Event Tracking Plan</t>
  </si>
  <si>
    <t xml:space="preserve">Every event is Proposed or To Be Verified. No event is claimed to exist in VELOOP today; Implementation Status is 'To be confirmed by Engineering' for all. No simulated or real VELOOP statistics are included.</t>
  </si>
  <si>
    <t xml:space="preserve">Naming standard: object_action in snake_case, past tense (see Naming_Standard). Common properties on every event are in Common_Envelope.</t>
  </si>
  <si>
    <t xml:space="preserve">KPI Dependency lists the KPIs from the KPI Catalogue (Work Package I) that use each event; it is derived from the catalogue's Required Events column.</t>
  </si>
  <si>
    <t xml:space="preserve">Open questions:</t>
  </si>
  <si>
    <t xml:space="preserve">- Which of these events are emitted today, and by which component? (A001, A011)</t>
  </si>
  <si>
    <t xml:space="preserve">- For each event, is the frontend or backend the right emitter? Rule proposed: interactions from the frontend, outcomes from the backend.</t>
  </si>
  <si>
    <t xml:space="preserve">- What idempotency design prevents a retried request from producing two events? (A005)</t>
  </si>
  <si>
    <t xml:space="preserve">- Is task_viewed volume acceptable, or should it be sampled?</t>
  </si>
  <si>
    <t xml:space="preserve">- Do features outside earning need feature_opened, or do they have their own events?</t>
  </si>
  <si>
    <t xml:space="preserve">- Which statuses, units, methods and categories form the approved lists used in validation? (A002, A006)</t>
  </si>
  <si>
    <t xml:space="preserve">Live counts</t>
  </si>
  <si>
    <t xml:space="preserve">Events in catalogue</t>
  </si>
  <si>
    <t xml:space="preserve">Critical events</t>
  </si>
  <si>
    <t xml:space="preserve">Events To Be Verified</t>
  </si>
  <si>
    <t xml:space="preserve">Brief events missing from catalogue</t>
  </si>
  <si>
    <t xml:space="preserve">Event Name</t>
  </si>
  <si>
    <t xml:space="preserve">Trigger</t>
  </si>
  <si>
    <t xml:space="preserve">Definition</t>
  </si>
  <si>
    <t xml:space="preserve">User ID</t>
  </si>
  <si>
    <t xml:space="preserve">Event ID</t>
  </si>
  <si>
    <t xml:space="preserve">Timestamp</t>
  </si>
  <si>
    <t xml:space="preserve">Feature</t>
  </si>
  <si>
    <t xml:space="preserve">Status</t>
  </si>
  <si>
    <t xml:space="preserve">Required Properties</t>
  </si>
  <si>
    <t xml:space="preserve">Optional Properties</t>
  </si>
  <si>
    <t xml:space="preserve">Data Type</t>
  </si>
  <si>
    <t xml:space="preserve">Validation</t>
  </si>
  <si>
    <t xml:space="preserve">Source</t>
  </si>
  <si>
    <t xml:space="preserve">Business Purpose</t>
  </si>
  <si>
    <t xml:space="preserve">KPI Dependency</t>
  </si>
  <si>
    <t xml:space="preserve">Implementation Status</t>
  </si>
  <si>
    <t xml:space="preserve">Priority</t>
  </si>
  <si>
    <t xml:space="preserve">user_registered</t>
  </si>
  <si>
    <t xml:space="preserve">Account creation succeeds</t>
  </si>
  <si>
    <t xml:space="preserve">A new user account has been created</t>
  </si>
  <si>
    <t xml:space="preserve">Required: user_id</t>
  </si>
  <si>
    <t xml:space="preserve">Required: event_id (unique)</t>
  </si>
  <si>
    <t xml:space="preserve">Required: event_timestamp (UTC)</t>
  </si>
  <si>
    <t xml:space="preserve">Account</t>
  </si>
  <si>
    <t xml:space="preserve">To Be Verified</t>
  </si>
  <si>
    <t xml:space="preserve">registration_source</t>
  </si>
  <si>
    <t xml:space="preserve">registration_method, referral_code_used, campaign_id, country_code</t>
  </si>
  <si>
    <t xml:space="preserve">registration_source: enum; registration_method: enum; referral_code_used: string; campaign_id: string; country_code: string</t>
  </si>
  <si>
    <t xml:space="preserve">registration_source in approved list; exactly one event per user_id; timestamp not in future</t>
  </si>
  <si>
    <t xml:space="preserve">Backend</t>
  </si>
  <si>
    <t xml:space="preserve">Start of lifecycle; acquisition analysis</t>
  </si>
  <si>
    <t xml:space="preserve">Registrations; Cohort Retention (Day N)</t>
  </si>
  <si>
    <t xml:space="preserve">To be confirmed by Engineering</t>
  </si>
  <si>
    <t xml:space="preserve">Critical</t>
  </si>
  <si>
    <t xml:space="preserve">user_logged_in</t>
  </si>
  <si>
    <t xml:space="preserve">Login succeeds</t>
  </si>
  <si>
    <t xml:space="preserve">A user has started an authenticated visit</t>
  </si>
  <si>
    <t xml:space="preserve">Proposed</t>
  </si>
  <si>
    <t xml:space="preserve">attempt_number</t>
  </si>
  <si>
    <t xml:space="preserve">attempt_number: integer</t>
  </si>
  <si>
    <t xml:space="preserve">user_id must exist; timestamp not before registration</t>
  </si>
  <si>
    <t xml:space="preserve">Return behaviour; visit counts (kept separate from 'active')</t>
  </si>
  <si>
    <t xml:space="preserve">Daily Visitors</t>
  </si>
  <si>
    <t xml:space="preserve">High</t>
  </si>
  <si>
    <t xml:space="preserve">user_logged_out</t>
  </si>
  <si>
    <t xml:space="preserve">User chooses logout (where logout exists)</t>
  </si>
  <si>
    <t xml:space="preserve">A user has ended a visit by logging out</t>
  </si>
  <si>
    <t xml:space="preserve">Not before a prior user_logged_in; may be absent for timeouts</t>
  </si>
  <si>
    <t xml:space="preserve">Frontend</t>
  </si>
  <si>
    <t xml:space="preserve">Session length where applicable</t>
  </si>
  <si>
    <t xml:space="preserve">No dedicated KPI yet (kept for lineage and definitions)</t>
  </si>
  <si>
    <t xml:space="preserve">Low</t>
  </si>
  <si>
    <t xml:space="preserve">onboarding_started</t>
  </si>
  <si>
    <t xml:space="preserve">First onboarding screen shown</t>
  </si>
  <si>
    <t xml:space="preserve">User has entered the onboarding flow</t>
  </si>
  <si>
    <t xml:space="preserve">onboarding_step</t>
  </si>
  <si>
    <t xml:space="preserve">onboarding_step: string</t>
  </si>
  <si>
    <t xml:space="preserve">onboarding_step in current flow list; once per user unless flow restarts</t>
  </si>
  <si>
    <t xml:space="preserve">Onboarding funnel entry</t>
  </si>
  <si>
    <t xml:space="preserve">Onboarding Completion Rate</t>
  </si>
  <si>
    <t xml:space="preserve">onboarding_completed</t>
  </si>
  <si>
    <t xml:space="preserve">Final onboarding step done</t>
  </si>
  <si>
    <t xml:space="preserve">User has finished onboarding</t>
  </si>
  <si>
    <t xml:space="preserve">step_completed_count</t>
  </si>
  <si>
    <t xml:space="preserve">onboarding_step: string; step_completed_count: integer</t>
  </si>
  <si>
    <t xml:space="preserve">Must follow onboarding_started; once per user</t>
  </si>
  <si>
    <t xml:space="preserve">Activation proxy</t>
  </si>
  <si>
    <t xml:space="preserve">account_status_changed</t>
  </si>
  <si>
    <t xml:space="preserve">account_status updated by user, system or operations</t>
  </si>
  <si>
    <t xml:space="preserve">An account moved from one status to another</t>
  </si>
  <si>
    <t xml:space="preserve">previous_status, new_status, status_change_actor</t>
  </si>
  <si>
    <t xml:space="preserve">reason_category</t>
  </si>
  <si>
    <t xml:space="preserve">previous_status: enum; new_status: enum; status_change_actor: enum; reason_category: enum</t>
  </si>
  <si>
    <t xml:space="preserve">previous_status differs from new_status; values in approved status list</t>
  </si>
  <si>
    <t xml:space="preserve">Track restrictions and closures</t>
  </si>
  <si>
    <t xml:space="preserve">Account Status Mix</t>
  </si>
  <si>
    <t xml:space="preserve">task_viewed</t>
  </si>
  <si>
    <t xml:space="preserve">Task card visible on screen</t>
  </si>
  <si>
    <t xml:space="preserve">A task was shown to the user</t>
  </si>
  <si>
    <t xml:space="preserve">Tasks</t>
  </si>
  <si>
    <t xml:space="preserve">task_id, task_type, feature</t>
  </si>
  <si>
    <t xml:space="preserve">screen_name</t>
  </si>
  <si>
    <t xml:space="preserve">task_id: string; task_type: enum; feature: enum; screen_name: string</t>
  </si>
  <si>
    <t xml:space="preserve">Only when visible, not when merely loaded; sample if volume is high</t>
  </si>
  <si>
    <t xml:space="preserve">Discovery-to-start funnel</t>
  </si>
  <si>
    <t xml:space="preserve">Task Open Rate</t>
  </si>
  <si>
    <t xml:space="preserve">Medium</t>
  </si>
  <si>
    <t xml:space="preserve">task_opened</t>
  </si>
  <si>
    <t xml:space="preserve">User opens task detail</t>
  </si>
  <si>
    <t xml:space="preserve">User opened a task</t>
  </si>
  <si>
    <t xml:space="preserve">task_id: string; task_type: enum; feature: enum</t>
  </si>
  <si>
    <t xml:space="preserve">task_id exists in catalogue</t>
  </si>
  <si>
    <t xml:space="preserve">Intent measurement</t>
  </si>
  <si>
    <t xml:space="preserve">task_started</t>
  </si>
  <si>
    <t xml:space="preserve">Task attempt record created</t>
  </si>
  <si>
    <t xml:space="preserve">User began an attempt at a task</t>
  </si>
  <si>
    <t xml:space="preserve">task_activity_id, task_id, task_type, feature</t>
  </si>
  <si>
    <t xml:space="preserve">provider_name, provider_reference_id, attempt_number</t>
  </si>
  <si>
    <t xml:space="preserve">task_activity_id: string; task_id: string; task_type: enum; feature: enum; provider_name: string; provider_reference_id: string; attempt_number: integer</t>
  </si>
  <si>
    <t xml:space="preserve">task_activity_id unique; task_id exists; one event per attempt</t>
  </si>
  <si>
    <t xml:space="preserve">Denominator for completion rate</t>
  </si>
  <si>
    <t xml:space="preserve">Feature Usage; Feature Adoption Rate; Task Starts; Task Completion Rate; Repeat Usage Rate; Provider Callback Reliability</t>
  </si>
  <si>
    <t xml:space="preserve">task_completed</t>
  </si>
  <si>
    <t xml:space="preserve">Completion has passed the applicable validation</t>
  </si>
  <si>
    <t xml:space="preserve">A task attempt was validated as completed</t>
  </si>
  <si>
    <t xml:space="preserve">task_activity_id, task_id, task_type, reward_amount, reward_unit, validation_status</t>
  </si>
  <si>
    <t xml:space="preserve">reward_id, provider_reference_id</t>
  </si>
  <si>
    <t xml:space="preserve">task_activity_id: string; task_id: string; task_type: enum; reward_amount: decimal; reward_unit: enum; validation_status: enum; reward_id: string; provider_reference_id: string</t>
  </si>
  <si>
    <t xml:space="preserve">validation_status = passed; exactly one per task_activity_id; reward_unit in approved list; reward_amount not negative</t>
  </si>
  <si>
    <t xml:space="preserve">Counts real completions only</t>
  </si>
  <si>
    <t xml:space="preserve">Daily Active Users (DAU); Weekly Active Users (WAU); Monthly Active Users (MAU); Returning Users; Cohort Retention (Day N); Feature Adoption Rate; Task Completions; Task Completion Rate; Help-Center Engagement</t>
  </si>
  <si>
    <t xml:space="preserve">task_failed</t>
  </si>
  <si>
    <t xml:space="preserve">Attempt ends without validated completion</t>
  </si>
  <si>
    <t xml:space="preserve">A task attempt failed or was abandoned</t>
  </si>
  <si>
    <t xml:space="preserve">task_activity_id, task_id, failure_category</t>
  </si>
  <si>
    <t xml:space="preserve">failure_detail_code, provider_name, provider_reference_id</t>
  </si>
  <si>
    <t xml:space="preserve">task_activity_id: string; task_id: string; failure_category: enum; failure_detail_code: string; provider_name: string; provider_reference_id: string</t>
  </si>
  <si>
    <t xml:space="preserve">failure_category in approved list; cannot follow task_completed for the same attempt</t>
  </si>
  <si>
    <t xml:space="preserve">Explain drop-off and failures</t>
  </si>
  <si>
    <t xml:space="preserve">Task Failure Mix</t>
  </si>
  <si>
    <t xml:space="preserve">reward_pending</t>
  </si>
  <si>
    <t xml:space="preserve">Reward created but not yet usable</t>
  </si>
  <si>
    <t xml:space="preserve">A reward is held awaiting validation or confirmation</t>
  </si>
  <si>
    <t xml:space="preserve">Rewards</t>
  </si>
  <si>
    <t xml:space="preserve">reward_id, reward_amount, reward_unit, source_feature, pending_reason</t>
  </si>
  <si>
    <t xml:space="preserve">task_activity_id</t>
  </si>
  <si>
    <t xml:space="preserve">reward_id: string; reward_amount: decimal; reward_unit: enum; source_feature: enum; pending_reason: enum; task_activity_id: string</t>
  </si>
  <si>
    <t xml:space="preserve">reward_id unique; reward_amount greater than 0</t>
  </si>
  <si>
    <t xml:space="preserve">Pending reward queue</t>
  </si>
  <si>
    <t xml:space="preserve">Reward Transactions; Pending Rewards</t>
  </si>
  <si>
    <t xml:space="preserve">reward_credited</t>
  </si>
  <si>
    <t xml:space="preserve">Wallet balance updated with the reward</t>
  </si>
  <si>
    <t xml:space="preserve">A reward has actually been added to the wallet</t>
  </si>
  <si>
    <t xml:space="preserve">reward_id, reward_amount, reward_unit, source_feature, wallet_transaction_id</t>
  </si>
  <si>
    <t xml:space="preserve">reward_id: string; reward_amount: decimal; reward_unit: enum; source_feature: enum; wallet_transaction_id: string; task_activity_id: string</t>
  </si>
  <si>
    <t xml:space="preserve">Exactly one per reward_id; wallet_transaction_id must exist; amount greater than 0</t>
  </si>
  <si>
    <t xml:space="preserve">Counts rewards actually given</t>
  </si>
  <si>
    <t xml:space="preserve">Reward Transactions; Reward Credits; Reward Reversal Rate; Reward Activity by Feature; Pending Rewards; Net Reward Amount</t>
  </si>
  <si>
    <t xml:space="preserve">reward_reversed</t>
  </si>
  <si>
    <t xml:space="preserve">A credited reward is taken back</t>
  </si>
  <si>
    <t xml:space="preserve">A previously credited reward was reversed</t>
  </si>
  <si>
    <t xml:space="preserve">reward_id, original_reward_id, reward_amount, reward_unit, reason_category, wallet_transaction_id</t>
  </si>
  <si>
    <t xml:space="preserve">reward_id: string; original_reward_id: string; reward_amount: decimal; reward_unit: enum; reason_category: enum; wallet_transaction_id: string</t>
  </si>
  <si>
    <t xml:space="preserve">original_reward_id must refer to a credited reward; no second reversal of the same reward</t>
  </si>
  <si>
    <t xml:space="preserve">Reward reliability</t>
  </si>
  <si>
    <t xml:space="preserve">Reward Transactions; Reward Reversals; Reward Reversal Rate; Net Reward Amount</t>
  </si>
  <si>
    <t xml:space="preserve">reward_corrected</t>
  </si>
  <si>
    <t xml:space="preserve">Reward amount changed after crediting</t>
  </si>
  <si>
    <t xml:space="preserve">A credited reward amount was corrected</t>
  </si>
  <si>
    <t xml:space="preserve">reward_id, old_amount, new_amount, reward_unit, correction_reason</t>
  </si>
  <si>
    <t xml:space="preserve">wallet_transaction_id</t>
  </si>
  <si>
    <t xml:space="preserve">reward_id: string; old_amount: decimal; new_amount: decimal; reward_unit: enum; correction_reason: enum; wallet_transaction_id: string</t>
  </si>
  <si>
    <t xml:space="preserve">old_amount differs from new_amount; reward must exist</t>
  </si>
  <si>
    <t xml:space="preserve">Detect after-the-fact changes</t>
  </si>
  <si>
    <t xml:space="preserve">Reward Transactions; Net Reward Amount</t>
  </si>
  <si>
    <t xml:space="preserve">reward_rejected</t>
  </si>
  <si>
    <t xml:space="preserve">Pending reward will never be credited (if this state exists)</t>
  </si>
  <si>
    <t xml:space="preserve">A pending reward was refused or expired</t>
  </si>
  <si>
    <t xml:space="preserve">reward_id, reason_category</t>
  </si>
  <si>
    <t xml:space="preserve">reward_id: string; reason_category: enum</t>
  </si>
  <si>
    <t xml:space="preserve">Must follow reward_pending; cannot follow reward_credited</t>
  </si>
  <si>
    <t xml:space="preserve">Pending reward outcomes</t>
  </si>
  <si>
    <t xml:space="preserve">Pending Rewards</t>
  </si>
  <si>
    <t xml:space="preserve">daily_reward_claimed</t>
  </si>
  <si>
    <t xml:space="preserve">Daily reward successfully claimed</t>
  </si>
  <si>
    <t xml:space="preserve">User claimed the daily reward</t>
  </si>
  <si>
    <t xml:space="preserve">Daily &amp; Engagement</t>
  </si>
  <si>
    <t xml:space="preserve">claim_date, streak_day, reward_amount, reward_unit</t>
  </si>
  <si>
    <t xml:space="preserve">reward_id</t>
  </si>
  <si>
    <t xml:space="preserve">claim_date: date; streak_day: integer; reward_amount: decimal; reward_unit: enum; reward_id: string</t>
  </si>
  <si>
    <t xml:space="preserve">One per user per claim_date; reward_amount not negative</t>
  </si>
  <si>
    <t xml:space="preserve">Daily habit measurement</t>
  </si>
  <si>
    <t xml:space="preserve">Daily Active Users (DAU); Weekly Active Users (WAU); Monthly Active Users (MAU); Returning Users; Cohort Retention (Day N); Feature Adoption Rate; Streak Length; Help-Center Engagement</t>
  </si>
  <si>
    <t xml:space="preserve">streak_updated</t>
  </si>
  <si>
    <t xml:space="preserve">Streak incremented or reset</t>
  </si>
  <si>
    <t xml:space="preserve">A user's streak changed</t>
  </si>
  <si>
    <t xml:space="preserve">streak_count, previous_streak_count, change_type</t>
  </si>
  <si>
    <t xml:space="preserve">streak_count: integer; previous_streak_count: integer; change_type: enum</t>
  </si>
  <si>
    <t xml:space="preserve">change_type in (increment, reset); counts consistent with change_type</t>
  </si>
  <si>
    <t xml:space="preserve">Streak length and breaks</t>
  </si>
  <si>
    <t xml:space="preserve">Streak Length</t>
  </si>
  <si>
    <t xml:space="preserve">mission_started</t>
  </si>
  <si>
    <t xml:space="preserve">Mission attempt begins</t>
  </si>
  <si>
    <t xml:space="preserve">User started a mission</t>
  </si>
  <si>
    <t xml:space="preserve">mission_id, mission_type</t>
  </si>
  <si>
    <t xml:space="preserve">mission_id: string; mission_type: enum</t>
  </si>
  <si>
    <t xml:space="preserve">mission_id exists</t>
  </si>
  <si>
    <t xml:space="preserve">Mission funnel start</t>
  </si>
  <si>
    <t xml:space="preserve">Feature Usage; Feature Adoption Rate; Repeat Usage Rate; Mission Completion Rate</t>
  </si>
  <si>
    <t xml:space="preserve">mission_completed</t>
  </si>
  <si>
    <t xml:space="preserve">System marks mission complete</t>
  </si>
  <si>
    <t xml:space="preserve">A mission was completed</t>
  </si>
  <si>
    <t xml:space="preserve">reward_amount, reward_unit, progress_value</t>
  </si>
  <si>
    <t xml:space="preserve">mission_id: string; mission_type: enum; reward_amount: decimal; reward_unit: enum; progress_value: decimal</t>
  </si>
  <si>
    <t xml:space="preserve">Must follow mission_started; once per mission attempt</t>
  </si>
  <si>
    <t xml:space="preserve">Mission outcomes</t>
  </si>
  <si>
    <t xml:space="preserve">Daily Active Users (DAU); Weekly Active Users (WAU); Monthly Active Users (MAU); Returning Users; Cohort Retention (Day N); Feature Adoption Rate; Mission Completion Rate; Help-Center Engagement</t>
  </si>
  <si>
    <t xml:space="preserve">badge_earned</t>
  </si>
  <si>
    <t xml:space="preserve">Badge awarded</t>
  </si>
  <si>
    <t xml:space="preserve">User earned a badge</t>
  </si>
  <si>
    <t xml:space="preserve">badge_id</t>
  </si>
  <si>
    <t xml:space="preserve">badge_id: string</t>
  </si>
  <si>
    <t xml:space="preserve">One per user per badge_id</t>
  </si>
  <si>
    <t xml:space="preserve">Progression effects</t>
  </si>
  <si>
    <t xml:space="preserve">spin_started</t>
  </si>
  <si>
    <t xml:space="preserve">User starts a spin</t>
  </si>
  <si>
    <t xml:space="preserve">User started a spin</t>
  </si>
  <si>
    <t xml:space="preserve">spin_id</t>
  </si>
  <si>
    <t xml:space="preserve">spin_id: string</t>
  </si>
  <si>
    <t xml:space="preserve">spin_id unique</t>
  </si>
  <si>
    <t xml:space="preserve">Feature adoption</t>
  </si>
  <si>
    <t xml:space="preserve">Feature Usage; Feature Adoption Rate; Repeat Usage Rate</t>
  </si>
  <si>
    <t xml:space="preserve">spin_completed</t>
  </si>
  <si>
    <t xml:space="preserve">Spin outcome decided</t>
  </si>
  <si>
    <t xml:space="preserve">A spin ended with an outcome</t>
  </si>
  <si>
    <t xml:space="preserve">spin_id, outcome_category</t>
  </si>
  <si>
    <t xml:space="preserve">reward_amount, reward_unit</t>
  </si>
  <si>
    <t xml:space="preserve">spin_id: string; outcome_category: enum; reward_amount: decimal; reward_unit: enum</t>
  </si>
  <si>
    <t xml:space="preserve">Must follow spin_started; one per spin_id</t>
  </si>
  <si>
    <t xml:space="preserve">Payout distribution</t>
  </si>
  <si>
    <t xml:space="preserve">Daily Active Users (DAU); Weekly Active Users (WAU); Monthly Active Users (MAU); Returning Users; Cohort Retention (Day N); Feature Adoption Rate; Help-Center Engagement</t>
  </si>
  <si>
    <t xml:space="preserve">mining_started</t>
  </si>
  <si>
    <t xml:space="preserve">Mining cycle begins</t>
  </si>
  <si>
    <t xml:space="preserve">User started a mining cycle</t>
  </si>
  <si>
    <t xml:space="preserve">mining_cycle_id</t>
  </si>
  <si>
    <t xml:space="preserve">mining_cycle_id: string</t>
  </si>
  <si>
    <t xml:space="preserve">mining_cycle_id unique</t>
  </si>
  <si>
    <t xml:space="preserve">Start of return loop</t>
  </si>
  <si>
    <t xml:space="preserve">mining_claimed</t>
  </si>
  <si>
    <t xml:space="preserve">User claims mining result</t>
  </si>
  <si>
    <t xml:space="preserve">User claimed a completed mining cycle</t>
  </si>
  <si>
    <t xml:space="preserve">mining_cycle_id, reward_amount, reward_unit</t>
  </si>
  <si>
    <t xml:space="preserve">mining_cycle_id: string; reward_amount: decimal; reward_unit: enum; reward_id: string</t>
  </si>
  <si>
    <t xml:space="preserve">Must follow mining_started; once per cycle</t>
  </si>
  <si>
    <t xml:space="preserve">Return behaviour</t>
  </si>
  <si>
    <t xml:space="preserve">feature_opened</t>
  </si>
  <si>
    <t xml:space="preserve">User opens a feature screen (name to be agreed)</t>
  </si>
  <si>
    <t xml:space="preserve">User opened a product feature</t>
  </si>
  <si>
    <t xml:space="preserve">feature_name</t>
  </si>
  <si>
    <t xml:space="preserve">feature_name: enum; screen_name: string</t>
  </si>
  <si>
    <t xml:space="preserve">feature_name in approved list; used only for features without their own start event</t>
  </si>
  <si>
    <t xml:space="preserve">Adoption of non-earning features</t>
  </si>
  <si>
    <t xml:space="preserve">Feature Usage; Feature Adoption Rate; Help-Center Engagement</t>
  </si>
  <si>
    <t xml:space="preserve">referral_created</t>
  </si>
  <si>
    <t xml:space="preserve">Referral code or link created</t>
  </si>
  <si>
    <t xml:space="preserve">A referral was created by a user</t>
  </si>
  <si>
    <t xml:space="preserve">Referrals</t>
  </si>
  <si>
    <t xml:space="preserve">referral_id, referring_user_id</t>
  </si>
  <si>
    <t xml:space="preserve">referral_code_used, campaign_id</t>
  </si>
  <si>
    <t xml:space="preserve">referral_id: string; referring_user_id: string; referral_code_used: string; campaign_id: string</t>
  </si>
  <si>
    <t xml:space="preserve">referral_id unique; referring_user_id must exist</t>
  </si>
  <si>
    <t xml:space="preserve">Referral funnel start</t>
  </si>
  <si>
    <t xml:space="preserve">Referrals Created; Referral Conversion Rate</t>
  </si>
  <si>
    <t xml:space="preserve">referral_registered</t>
  </si>
  <si>
    <t xml:space="preserve">Referred user completes sign-up</t>
  </si>
  <si>
    <t xml:space="preserve">A referred user registered</t>
  </si>
  <si>
    <t xml:space="preserve">referral_id, referring_user_id, referred_user_id</t>
  </si>
  <si>
    <t xml:space="preserve">referral_id: string; referring_user_id: string; referred_user_id: string</t>
  </si>
  <si>
    <t xml:space="preserve">referred_user_id differs from referring_user_id; follows referral_created</t>
  </si>
  <si>
    <t xml:space="preserve">Registration is not conversion</t>
  </si>
  <si>
    <t xml:space="preserve">Referral Registrations; Referral Activation Rate</t>
  </si>
  <si>
    <t xml:space="preserve">referral_activated</t>
  </si>
  <si>
    <t xml:space="preserve">Referred user meets activation rule</t>
  </si>
  <si>
    <t xml:space="preserve">A referred user became activated</t>
  </si>
  <si>
    <t xml:space="preserve">referral_id, referred_user_id, activation_rule_version</t>
  </si>
  <si>
    <t xml:space="preserve">referral_id: string; referred_user_id: string; activation_rule_version: string</t>
  </si>
  <si>
    <t xml:space="preserve">Follows referral_registered; once per referral_id</t>
  </si>
  <si>
    <t xml:space="preserve">Quality of referrals</t>
  </si>
  <si>
    <t xml:space="preserve">Referral Activations; Referral Activation Rate</t>
  </si>
  <si>
    <t xml:space="preserve">referral_converted</t>
  </si>
  <si>
    <t xml:space="preserve">Referral meets success condition</t>
  </si>
  <si>
    <t xml:space="preserve">A referral was successful</t>
  </si>
  <si>
    <t xml:space="preserve">reward_id, wallet_transaction_id</t>
  </si>
  <si>
    <t xml:space="preserve">referral_id: string; referring_user_id: string; referred_user_id: string; reward_id: string; wallet_transaction_id: string</t>
  </si>
  <si>
    <t xml:space="preserve">Follows referral_activated unless rule says otherwise; once per referral_id</t>
  </si>
  <si>
    <t xml:space="preserve">True referral success</t>
  </si>
  <si>
    <t xml:space="preserve">Referral Conversions; Referral Conversion Rate</t>
  </si>
  <si>
    <t xml:space="preserve">wallet_transaction_created</t>
  </si>
  <si>
    <t xml:space="preserve">Ledger entry created</t>
  </si>
  <si>
    <t xml:space="preserve">A wallet entry was created</t>
  </si>
  <si>
    <t xml:space="preserve">Wallet</t>
  </si>
  <si>
    <t xml:space="preserve">wallet_transaction_id, transaction_type, direction, amount, unit, reference_id, source_feature</t>
  </si>
  <si>
    <t xml:space="preserve">related_transaction_id, exchange_group_id</t>
  </si>
  <si>
    <t xml:space="preserve">wallet_transaction_id: string; transaction_type: enum; direction: enum; amount: decimal; unit: enum; reference_id: string; source_feature: enum; related_transaction_id: string; exchange_group_id: string</t>
  </si>
  <si>
    <t xml:space="preserve">wallet_transaction_id unique; amount greater than 0; direction agrees with transaction_type</t>
  </si>
  <si>
    <t xml:space="preserve">Every balance change has a record</t>
  </si>
  <si>
    <t xml:space="preserve">Wallet Transactions</t>
  </si>
  <si>
    <t xml:space="preserve">wallet_transaction_completed</t>
  </si>
  <si>
    <t xml:space="preserve">Ledger entry becomes final</t>
  </si>
  <si>
    <t xml:space="preserve">A wallet entry was completed</t>
  </si>
  <si>
    <t xml:space="preserve">wallet_transaction_id, transaction_type, direction, amount, unit, transaction_status</t>
  </si>
  <si>
    <t xml:space="preserve">wallet_transaction_id: string; transaction_type: enum; direction: enum; amount: decimal; unit: enum; transaction_status: enum</t>
  </si>
  <si>
    <t xml:space="preserve">Follows wallet_transaction_created; once per transaction</t>
  </si>
  <si>
    <t xml:space="preserve">Settlement and balance integrity</t>
  </si>
  <si>
    <t xml:space="preserve">Wallet Transactions; Credit Volume; Redemption Activity; Wallet Reconciliation Exceptions</t>
  </si>
  <si>
    <t xml:space="preserve">wallet_transaction_reversed</t>
  </si>
  <si>
    <t xml:space="preserve">Reversal entry created</t>
  </si>
  <si>
    <t xml:space="preserve">An earlier wallet entry was reversed</t>
  </si>
  <si>
    <t xml:space="preserve">wallet_transaction_id, related_transaction_id, amount, unit, reason_category</t>
  </si>
  <si>
    <t xml:space="preserve">wallet_transaction_id: string; related_transaction_id: string; amount: decimal; unit: enum; reason_category: enum</t>
  </si>
  <si>
    <t xml:space="preserve">related_transaction_id exists and is not itself a reversal</t>
  </si>
  <si>
    <t xml:space="preserve">Reversal tracking</t>
  </si>
  <si>
    <t xml:space="preserve">Wallet Reversals</t>
  </si>
  <si>
    <t xml:space="preserve">wallet_exchange_completed</t>
  </si>
  <si>
    <t xml:space="preserve">Exchange of units finalised</t>
  </si>
  <si>
    <t xml:space="preserve">A unit exchange finished</t>
  </si>
  <si>
    <t xml:space="preserve">exchange_group_id, from_unit, to_unit, from_amount, to_amount</t>
  </si>
  <si>
    <t xml:space="preserve">exchange_rate_applied</t>
  </si>
  <si>
    <t xml:space="preserve">exchange_group_id: string; from_unit: enum; to_unit: enum; from_amount: decimal; to_amount: decimal; exchange_rate_applied: decimal</t>
  </si>
  <si>
    <t xml:space="preserve">One debit and one credit per exchange_group_id</t>
  </si>
  <si>
    <t xml:space="preserve">Exchange activity</t>
  </si>
  <si>
    <t xml:space="preserve">Exchange Activity</t>
  </si>
  <si>
    <t xml:space="preserve">withdrawal_requested</t>
  </si>
  <si>
    <t xml:space="preserve">Withdrawal request created</t>
  </si>
  <si>
    <t xml:space="preserve">User requested a withdrawal</t>
  </si>
  <si>
    <t xml:space="preserve">Withdrawals</t>
  </si>
  <si>
    <t xml:space="preserve">withdrawal_id, requested_amount, requested_unit, method</t>
  </si>
  <si>
    <t xml:space="preserve">withdrawal_id: string; requested_amount: decimal; requested_unit: enum; method: enum; wallet_transaction_id: string</t>
  </si>
  <si>
    <t xml:space="preserve">withdrawal_id unique; requested_amount greater than 0; method in approved list</t>
  </si>
  <si>
    <t xml:space="preserve">Start of withdrawal lifecycle</t>
  </si>
  <si>
    <t xml:space="preserve">Daily Active Users (DAU); Weekly Active Users (WAU); Monthly Active Users (MAU); Returning Users; Cohort Retention (Day N); Feature Adoption Rate; Withdrawal Requests; Pending Withdrawals; Processing Time; Withdrawal Completion Rate; Pending Queue Age; Withdrawal Volume; Withdrawal Method Distribution; Help-Center Engagement</t>
  </si>
  <si>
    <t xml:space="preserve">withdrawal_processing</t>
  </si>
  <si>
    <t xml:space="preserve">Request enters review or processing</t>
  </si>
  <si>
    <t xml:space="preserve">A withdrawal started processing</t>
  </si>
  <si>
    <t xml:space="preserve">withdrawal_id, method</t>
  </si>
  <si>
    <t xml:space="preserve">provider_reference_id</t>
  </si>
  <si>
    <t xml:space="preserve">withdrawal_id: string; method: enum; provider_reference_id: string</t>
  </si>
  <si>
    <t xml:space="preserve">Follows withdrawal_requested; once per withdrawal</t>
  </si>
  <si>
    <t xml:space="preserve">Processing time and queue</t>
  </si>
  <si>
    <t xml:space="preserve">Pending Withdrawals; Pending Queue Age</t>
  </si>
  <si>
    <t xml:space="preserve">withdrawal_completed</t>
  </si>
  <si>
    <t xml:space="preserve">Payout finished</t>
  </si>
  <si>
    <t xml:space="preserve">A withdrawal was paid out</t>
  </si>
  <si>
    <t xml:space="preserve">withdrawal_id, method, completed_amount, requested_unit, wallet_transaction_id</t>
  </si>
  <si>
    <t xml:space="preserve">withdrawal_id: string; method: enum; completed_amount: decimal; requested_unit: enum; wallet_transaction_id: string; provider_reference_id: string</t>
  </si>
  <si>
    <t xml:space="preserve">Follows withdrawal_processing; one linked debit; completed_amount not above requested unless a fee rule exists</t>
  </si>
  <si>
    <t xml:space="preserve">Payout output</t>
  </si>
  <si>
    <t xml:space="preserve">Completed Withdrawals; Pending Withdrawals; Processing Time; Withdrawal Completion Rate; Withdrawal Volume; Withdrawal Method Distribution</t>
  </si>
  <si>
    <t xml:space="preserve">withdrawal_rejected</t>
  </si>
  <si>
    <t xml:space="preserve">Request refused</t>
  </si>
  <si>
    <t xml:space="preserve">A withdrawal was rejected</t>
  </si>
  <si>
    <t xml:space="preserve">withdrawal_id, method, reason_category</t>
  </si>
  <si>
    <t xml:space="preserve">withdrawal_id: string; method: enum; reason_category: enum</t>
  </si>
  <si>
    <t xml:space="preserve">reason_category required; cannot follow withdrawal_completed</t>
  </si>
  <si>
    <t xml:space="preserve">Understand friction</t>
  </si>
  <si>
    <t xml:space="preserve">Pending Withdrawals; Rejected Withdrawals; Processing Time</t>
  </si>
  <si>
    <t xml:space="preserve">withdrawal_reversed</t>
  </si>
  <si>
    <t xml:space="preserve">Completed payout undone or returned</t>
  </si>
  <si>
    <t xml:space="preserve">A completed withdrawal was reversed</t>
  </si>
  <si>
    <t xml:space="preserve">withdrawal_id, method, reason_category, wallet_transaction_id</t>
  </si>
  <si>
    <t xml:space="preserve">withdrawal_id: string; method: enum; reason_category: enum; wallet_transaction_id: string; provider_reference_id: string</t>
  </si>
  <si>
    <t xml:space="preserve">Must follow withdrawal_completed</t>
  </si>
  <si>
    <t xml:space="preserve">Payout reliability</t>
  </si>
  <si>
    <t xml:space="preserve">Reversed Withdrawals</t>
  </si>
  <si>
    <t xml:space="preserve">withdrawal_cancelled</t>
  </si>
  <si>
    <t xml:space="preserve">User cancels before processing (if allowed)</t>
  </si>
  <si>
    <t xml:space="preserve">A withdrawal was cancelled by the user</t>
  </si>
  <si>
    <t xml:space="preserve">withdrawal_id, reason_category</t>
  </si>
  <si>
    <t xml:space="preserve">withdrawal_id: string; reason_category: enum</t>
  </si>
  <si>
    <t xml:space="preserve">Must precede withdrawal_processing</t>
  </si>
  <si>
    <t xml:space="preserve">Complete lifecycle accounting</t>
  </si>
  <si>
    <t xml:space="preserve">Pending Withdrawals; Withdrawal Completion Rate</t>
  </si>
  <si>
    <t xml:space="preserve">support_request_created</t>
  </si>
  <si>
    <t xml:space="preserve">User submits a support request (name to be agreed)</t>
  </si>
  <si>
    <t xml:space="preserve">A support request was created</t>
  </si>
  <si>
    <t xml:space="preserve">Support</t>
  </si>
  <si>
    <t xml:space="preserve">ticket_id, issue_category</t>
  </si>
  <si>
    <t xml:space="preserve">article_id</t>
  </si>
  <si>
    <t xml:space="preserve">ticket_id: string; issue_category: enum; article_id: string</t>
  </si>
  <si>
    <t xml:space="preserve">issue_category in approved list; no free text in analytics</t>
  </si>
  <si>
    <t xml:space="preserve">Support demand</t>
  </si>
  <si>
    <t xml:space="preserve">Support Requests; Issue Category Mix</t>
  </si>
  <si>
    <t xml:space="preserve">provider_callback_received</t>
  </si>
  <si>
    <t xml:space="preserve">External provider reports a result (name to be agreed)</t>
  </si>
  <si>
    <t xml:space="preserve">A provider callback arrived</t>
  </si>
  <si>
    <t xml:space="preserve">Third-party earning</t>
  </si>
  <si>
    <t xml:space="preserve">provider_name, provider_reference_id, provider_status, callback_received_at</t>
  </si>
  <si>
    <t xml:space="preserve">provider_event_time, task_activity_id</t>
  </si>
  <si>
    <t xml:space="preserve">provider_name: string; provider_reference_id: string; provider_status: enum; callback_received_at: timestamp; provider_event_time: timestamp; task_activity_id: string</t>
  </si>
  <si>
    <t xml:space="preserve">provider_reference_id present; stored separately from VELOOP status</t>
  </si>
  <si>
    <t xml:space="preserve">Provider</t>
  </si>
  <si>
    <t xml:space="preserve">Reliability of external providers</t>
  </si>
  <si>
    <t xml:space="preserve">Provider Callback Reliability</t>
  </si>
  <si>
    <t xml:space="preserve">Property</t>
  </si>
  <si>
    <t xml:space="preserve">Type</t>
  </si>
  <si>
    <t xml:space="preserve">Required?</t>
  </si>
  <si>
    <t xml:space="preserve">Meaning (applies to every event)</t>
  </si>
  <si>
    <t xml:space="preserve">event_id</t>
  </si>
  <si>
    <t xml:space="preserve">string</t>
  </si>
  <si>
    <t xml:space="preserve">Yes</t>
  </si>
  <si>
    <t xml:space="preserve">Unique key for this event occurrence; a retry reuses the same id</t>
  </si>
  <si>
    <t xml:space="preserve">event_name</t>
  </si>
  <si>
    <t xml:space="preserve">Name from the catalogue, following the naming standard</t>
  </si>
  <si>
    <t xml:space="preserve">event_timestamp</t>
  </si>
  <si>
    <t xml:space="preserve">timestamp (UTC)</t>
  </si>
  <si>
    <t xml:space="preserve">When the event happened, ISO 8601 UTC</t>
  </si>
  <si>
    <t xml:space="preserve">received_timestamp</t>
  </si>
  <si>
    <t xml:space="preserve">Yes (added on receipt)</t>
  </si>
  <si>
    <t xml:space="preserve">When the analytics pipeline received it; detects delay and clock problems</t>
  </si>
  <si>
    <t xml:space="preserve">user_id</t>
  </si>
  <si>
    <t xml:space="preserve">Stable user key; never email, phone or name</t>
  </si>
  <si>
    <t xml:space="preserve">schema_version</t>
  </si>
  <si>
    <t xml:space="preserve">Version of the event definition, so changes stay traceable</t>
  </si>
  <si>
    <t xml:space="preserve">platform</t>
  </si>
  <si>
    <t xml:space="preserve">string (enum)</t>
  </si>
  <si>
    <t xml:space="preserve">android, ios or web (list to be agreed)</t>
  </si>
  <si>
    <t xml:space="preserve">app_version</t>
  </si>
  <si>
    <t xml:space="preserve">Version of the app that emitted the event</t>
  </si>
  <si>
    <t xml:space="preserve">source</t>
  </si>
  <si>
    <t xml:space="preserve">frontend, backend or provider</t>
  </si>
  <si>
    <t xml:space="preserve">session_id</t>
  </si>
  <si>
    <t xml:space="preserve">Optional</t>
  </si>
  <si>
    <t xml:space="preserve">Present only if session tracking is adopted</t>
  </si>
  <si>
    <t xml:space="preserve">Rule</t>
  </si>
  <si>
    <t xml:space="preserve">Standard</t>
  </si>
  <si>
    <t xml:space="preserve">Example</t>
  </si>
  <si>
    <t xml:space="preserve">Pattern</t>
  </si>
  <si>
    <t xml:space="preserve">object_action: the thing, then what happened to it, in snake_case</t>
  </si>
  <si>
    <t xml:space="preserve">task_completed, reward_credited, user_registered</t>
  </si>
  <si>
    <t xml:space="preserve">Tense</t>
  </si>
  <si>
    <t xml:space="preserve">Action in the past tense, because an event records something that has already happened</t>
  </si>
  <si>
    <t xml:space="preserve">withdrawal_completed, not withdrawal_complete</t>
  </si>
  <si>
    <t xml:space="preserve">State-entry exceptions</t>
  </si>
  <si>
    <t xml:space="preserve">Two events keep the state word from the brief's minimum list: reward_pending and withdrawal_processing</t>
  </si>
  <si>
    <t xml:space="preserve">Documented exceptions, nothing else uses this form</t>
  </si>
  <si>
    <t xml:space="preserve">Case and characters</t>
  </si>
  <si>
    <t xml:space="preserve">Lowercase letters, digits and underscores only; no spaces, no abbreviations unless standard</t>
  </si>
  <si>
    <t xml:space="preserve">Feature in a property, not the name</t>
  </si>
  <si>
    <t xml:space="preserve">Use a generic event with a feature or source_feature property when behaviour is the same across features</t>
  </si>
  <si>
    <t xml:space="preserve">reward_credited with source_feature = spin, not spin_reward_credited</t>
  </si>
  <si>
    <t xml:space="preserve">Feature-specific objects</t>
  </si>
  <si>
    <t xml:space="preserve">Allowed when the object is itself a feature object</t>
  </si>
  <si>
    <t xml:space="preserve">spin_started, mission_completed, mining_claimed</t>
  </si>
  <si>
    <t xml:space="preserve">Outcome vs interaction</t>
  </si>
  <si>
    <t xml:space="preserve">Interactions can come from the frontend (task_opened); outcomes must come from the backend (reward_credited, task_completed)</t>
  </si>
  <si>
    <t xml:space="preserve">Prevents counting what the UI showed as what actually happened</t>
  </si>
  <si>
    <t xml:space="preserve">Stability</t>
  </si>
  <si>
    <t xml:space="preserve">Released event names are not renamed. A change is a new version or a new event, recorded in the change log</t>
  </si>
  <si>
    <t xml:space="preserve">See Work Package Q</t>
  </si>
  <si>
    <t xml:space="preserve">No personal data</t>
  </si>
  <si>
    <t xml:space="preserve">No personal data in event names or properties</t>
  </si>
  <si>
    <t xml:space="preserve">See Work Package B excluded data</t>
  </si>
  <si>
    <t xml:space="preserve">Event from brief's minimum list</t>
  </si>
  <si>
    <t xml:space="preserve">In catalogue?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</si>
</sst>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CBAD"/>
        <bgColor rgb="FFF4B6B6"/>
      </patternFill>
    </fill>
    <fill>
      <patternFill patternType="solid">
        <fgColor rgb="FFF4B6B6"/>
        <bgColor rgb="FFF8CBAD"/>
      </patternFill>
    </fill>
    <fill>
      <patternFill patternType="solid">
        <fgColor rgb="FFFFEB9C"/>
        <bgColor rgb="FFFFFFCC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B6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 t="s">
        <v>10</v>
      </c>
    </row>
    <row r="14" customFormat="false" ht="15" hidden="false" customHeight="true" outlineLevel="0" collapsed="false">
      <c r="A14" s="5" t="s">
        <v>11</v>
      </c>
    </row>
    <row r="15" customFormat="false" ht="15" hidden="false" customHeight="true" outlineLevel="0" collapsed="false">
      <c r="A15" s="6" t="s">
        <v>12</v>
      </c>
      <c r="B15" s="6" t="n">
        <f aca="false">COUNTA(Event_Catalogue!A:A)-1</f>
        <v>42</v>
      </c>
    </row>
    <row r="16" customFormat="false" ht="15" hidden="false" customHeight="true" outlineLevel="0" collapsed="false">
      <c r="A16" s="6" t="s">
        <v>13</v>
      </c>
      <c r="B16" s="6" t="n">
        <f aca="false">COUNTIF(Event_Catalogue!Q:Q,"Critical")</f>
        <v>9</v>
      </c>
    </row>
    <row r="17" customFormat="false" ht="15" hidden="false" customHeight="true" outlineLevel="0" collapsed="false">
      <c r="A17" s="6" t="s">
        <v>14</v>
      </c>
      <c r="B17" s="6" t="n">
        <f aca="false">COUNTIF(Event_Catalogue!H:H,"To Be Verified")</f>
        <v>19</v>
      </c>
    </row>
    <row r="18" customFormat="false" ht="15" hidden="false" customHeight="true" outlineLevel="0" collapsed="false">
      <c r="A18" s="6" t="s">
        <v>15</v>
      </c>
      <c r="B18" s="6" t="n">
        <f aca="false">COUNTIF(Brief_Coverage!B:B,"No")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3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15"/>
    <col collapsed="false" customWidth="true" hidden="false" outlineLevel="0" max="9" min="9" style="1" width="48"/>
    <col collapsed="false" customWidth="true" hidden="false" outlineLevel="0" max="10" min="10" style="1" width="34"/>
    <col collapsed="false" customWidth="true" hidden="false" outlineLevel="0" max="11" min="11" style="1" width="60"/>
    <col collapsed="false" customWidth="true" hidden="false" outlineLevel="0" max="12" min="12" style="1" width="52"/>
    <col collapsed="false" customWidth="true" hidden="false" outlineLevel="0" max="13" min="13" style="1" width="12"/>
    <col collapsed="false" customWidth="true" hidden="false" outlineLevel="0" max="14" min="14" style="1" width="34"/>
    <col collapsed="false" customWidth="true" hidden="false" outlineLevel="0" max="15" min="15" style="1" width="36"/>
    <col collapsed="false" customWidth="true" hidden="false" outlineLevel="0" max="16" min="16" style="1" width="22"/>
    <col collapsed="false" customWidth="true" hidden="false" outlineLevel="0" max="17" min="17" style="1" width="10"/>
  </cols>
  <sheetData>
    <row r="1" customFormat="false" ht="23.25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</row>
    <row r="2" customFormat="false" ht="23.25" hidden="false" customHeight="true" outlineLevel="0" collapsed="false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9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45</v>
      </c>
      <c r="N2" s="8" t="s">
        <v>46</v>
      </c>
      <c r="O2" s="8" t="s">
        <v>47</v>
      </c>
      <c r="P2" s="8" t="s">
        <v>48</v>
      </c>
      <c r="Q2" s="10" t="s">
        <v>49</v>
      </c>
    </row>
    <row r="3" customFormat="false" ht="23.25" hidden="false" customHeight="true" outlineLevel="0" collapsed="false">
      <c r="A3" s="8" t="s">
        <v>50</v>
      </c>
      <c r="B3" s="8" t="s">
        <v>51</v>
      </c>
      <c r="C3" s="8" t="s">
        <v>52</v>
      </c>
      <c r="D3" s="8" t="s">
        <v>36</v>
      </c>
      <c r="E3" s="8" t="s">
        <v>37</v>
      </c>
      <c r="F3" s="8" t="s">
        <v>38</v>
      </c>
      <c r="G3" s="8" t="s">
        <v>39</v>
      </c>
      <c r="H3" s="11" t="s">
        <v>53</v>
      </c>
      <c r="I3" s="8"/>
      <c r="J3" s="8" t="s">
        <v>54</v>
      </c>
      <c r="K3" s="8" t="s">
        <v>55</v>
      </c>
      <c r="L3" s="8" t="s">
        <v>56</v>
      </c>
      <c r="M3" s="8" t="s">
        <v>45</v>
      </c>
      <c r="N3" s="8" t="s">
        <v>57</v>
      </c>
      <c r="O3" s="8" t="s">
        <v>58</v>
      </c>
      <c r="P3" s="8" t="s">
        <v>48</v>
      </c>
      <c r="Q3" s="9" t="s">
        <v>59</v>
      </c>
    </row>
    <row r="4" customFormat="false" ht="23.25" hidden="false" customHeight="true" outlineLevel="0" collapsed="false">
      <c r="A4" s="8" t="s">
        <v>60</v>
      </c>
      <c r="B4" s="8" t="s">
        <v>61</v>
      </c>
      <c r="C4" s="8" t="s">
        <v>62</v>
      </c>
      <c r="D4" s="8" t="s">
        <v>36</v>
      </c>
      <c r="E4" s="8" t="s">
        <v>37</v>
      </c>
      <c r="F4" s="8" t="s">
        <v>38</v>
      </c>
      <c r="G4" s="8" t="s">
        <v>39</v>
      </c>
      <c r="H4" s="11" t="s">
        <v>53</v>
      </c>
      <c r="I4" s="8"/>
      <c r="J4" s="8"/>
      <c r="K4" s="8"/>
      <c r="L4" s="8" t="s">
        <v>63</v>
      </c>
      <c r="M4" s="8" t="s">
        <v>64</v>
      </c>
      <c r="N4" s="8" t="s">
        <v>65</v>
      </c>
      <c r="O4" s="8" t="s">
        <v>66</v>
      </c>
      <c r="P4" s="8" t="s">
        <v>48</v>
      </c>
      <c r="Q4" s="12" t="s">
        <v>67</v>
      </c>
    </row>
    <row r="5" customFormat="false" ht="23.25" hidden="false" customHeight="true" outlineLevel="0" collapsed="false">
      <c r="A5" s="8" t="s">
        <v>68</v>
      </c>
      <c r="B5" s="8" t="s">
        <v>69</v>
      </c>
      <c r="C5" s="8" t="s">
        <v>70</v>
      </c>
      <c r="D5" s="8" t="s">
        <v>36</v>
      </c>
      <c r="E5" s="8" t="s">
        <v>37</v>
      </c>
      <c r="F5" s="8" t="s">
        <v>38</v>
      </c>
      <c r="G5" s="8" t="s">
        <v>39</v>
      </c>
      <c r="H5" s="11" t="s">
        <v>53</v>
      </c>
      <c r="I5" s="8" t="s">
        <v>71</v>
      </c>
      <c r="J5" s="8"/>
      <c r="K5" s="8" t="s">
        <v>72</v>
      </c>
      <c r="L5" s="8" t="s">
        <v>73</v>
      </c>
      <c r="M5" s="8" t="s">
        <v>64</v>
      </c>
      <c r="N5" s="8" t="s">
        <v>74</v>
      </c>
      <c r="O5" s="8" t="s">
        <v>75</v>
      </c>
      <c r="P5" s="8" t="s">
        <v>48</v>
      </c>
      <c r="Q5" s="9" t="s">
        <v>59</v>
      </c>
    </row>
    <row r="6" customFormat="false" ht="23.25" hidden="false" customHeight="true" outlineLevel="0" collapsed="false">
      <c r="A6" s="8" t="s">
        <v>76</v>
      </c>
      <c r="B6" s="8" t="s">
        <v>77</v>
      </c>
      <c r="C6" s="8" t="s">
        <v>78</v>
      </c>
      <c r="D6" s="8" t="s">
        <v>36</v>
      </c>
      <c r="E6" s="8" t="s">
        <v>37</v>
      </c>
      <c r="F6" s="8" t="s">
        <v>38</v>
      </c>
      <c r="G6" s="8" t="s">
        <v>39</v>
      </c>
      <c r="H6" s="11" t="s">
        <v>53</v>
      </c>
      <c r="I6" s="8" t="s">
        <v>71</v>
      </c>
      <c r="J6" s="8" t="s">
        <v>79</v>
      </c>
      <c r="K6" s="8" t="s">
        <v>80</v>
      </c>
      <c r="L6" s="8" t="s">
        <v>81</v>
      </c>
      <c r="M6" s="8" t="s">
        <v>45</v>
      </c>
      <c r="N6" s="8" t="s">
        <v>82</v>
      </c>
      <c r="O6" s="8" t="s">
        <v>75</v>
      </c>
      <c r="P6" s="8" t="s">
        <v>48</v>
      </c>
      <c r="Q6" s="9" t="s">
        <v>59</v>
      </c>
    </row>
    <row r="7" customFormat="false" ht="23.25" hidden="false" customHeight="true" outlineLevel="0" collapsed="false">
      <c r="A7" s="8" t="s">
        <v>83</v>
      </c>
      <c r="B7" s="8" t="s">
        <v>84</v>
      </c>
      <c r="C7" s="8" t="s">
        <v>85</v>
      </c>
      <c r="D7" s="8" t="s">
        <v>36</v>
      </c>
      <c r="E7" s="8" t="s">
        <v>37</v>
      </c>
      <c r="F7" s="8" t="s">
        <v>38</v>
      </c>
      <c r="G7" s="8" t="s">
        <v>39</v>
      </c>
      <c r="H7" s="9" t="s">
        <v>40</v>
      </c>
      <c r="I7" s="8" t="s">
        <v>86</v>
      </c>
      <c r="J7" s="8" t="s">
        <v>87</v>
      </c>
      <c r="K7" s="8" t="s">
        <v>88</v>
      </c>
      <c r="L7" s="8" t="s">
        <v>89</v>
      </c>
      <c r="M7" s="8" t="s">
        <v>45</v>
      </c>
      <c r="N7" s="8" t="s">
        <v>90</v>
      </c>
      <c r="O7" s="8" t="s">
        <v>91</v>
      </c>
      <c r="P7" s="8" t="s">
        <v>48</v>
      </c>
      <c r="Q7" s="9" t="s">
        <v>59</v>
      </c>
    </row>
    <row r="8" customFormat="false" ht="23.25" hidden="false" customHeight="true" outlineLevel="0" collapsed="false">
      <c r="A8" s="8" t="s">
        <v>92</v>
      </c>
      <c r="B8" s="8" t="s">
        <v>93</v>
      </c>
      <c r="C8" s="8" t="s">
        <v>94</v>
      </c>
      <c r="D8" s="8" t="s">
        <v>36</v>
      </c>
      <c r="E8" s="8" t="s">
        <v>37</v>
      </c>
      <c r="F8" s="8" t="s">
        <v>38</v>
      </c>
      <c r="G8" s="8" t="s">
        <v>95</v>
      </c>
      <c r="H8" s="11" t="s">
        <v>53</v>
      </c>
      <c r="I8" s="8" t="s">
        <v>96</v>
      </c>
      <c r="J8" s="8" t="s">
        <v>97</v>
      </c>
      <c r="K8" s="8" t="s">
        <v>98</v>
      </c>
      <c r="L8" s="8" t="s">
        <v>99</v>
      </c>
      <c r="M8" s="8" t="s">
        <v>64</v>
      </c>
      <c r="N8" s="8" t="s">
        <v>100</v>
      </c>
      <c r="O8" s="8" t="s">
        <v>101</v>
      </c>
      <c r="P8" s="8" t="s">
        <v>48</v>
      </c>
      <c r="Q8" s="11" t="s">
        <v>102</v>
      </c>
    </row>
    <row r="9" customFormat="false" ht="23.25" hidden="false" customHeight="true" outlineLevel="0" collapsed="false">
      <c r="A9" s="8" t="s">
        <v>103</v>
      </c>
      <c r="B9" s="8" t="s">
        <v>104</v>
      </c>
      <c r="C9" s="8" t="s">
        <v>105</v>
      </c>
      <c r="D9" s="8" t="s">
        <v>36</v>
      </c>
      <c r="E9" s="8" t="s">
        <v>37</v>
      </c>
      <c r="F9" s="8" t="s">
        <v>38</v>
      </c>
      <c r="G9" s="8" t="s">
        <v>95</v>
      </c>
      <c r="H9" s="11" t="s">
        <v>53</v>
      </c>
      <c r="I9" s="8" t="s">
        <v>96</v>
      </c>
      <c r="J9" s="8"/>
      <c r="K9" s="8" t="s">
        <v>106</v>
      </c>
      <c r="L9" s="8" t="s">
        <v>107</v>
      </c>
      <c r="M9" s="8" t="s">
        <v>64</v>
      </c>
      <c r="N9" s="8" t="s">
        <v>108</v>
      </c>
      <c r="O9" s="8" t="s">
        <v>101</v>
      </c>
      <c r="P9" s="8" t="s">
        <v>48</v>
      </c>
      <c r="Q9" s="11" t="s">
        <v>102</v>
      </c>
    </row>
    <row r="10" customFormat="false" ht="34.5" hidden="false" customHeight="true" outlineLevel="0" collapsed="false">
      <c r="A10" s="8" t="s">
        <v>109</v>
      </c>
      <c r="B10" s="8" t="s">
        <v>110</v>
      </c>
      <c r="C10" s="8" t="s">
        <v>111</v>
      </c>
      <c r="D10" s="8" t="s">
        <v>36</v>
      </c>
      <c r="E10" s="8" t="s">
        <v>37</v>
      </c>
      <c r="F10" s="8" t="s">
        <v>38</v>
      </c>
      <c r="G10" s="8" t="s">
        <v>95</v>
      </c>
      <c r="H10" s="11" t="s">
        <v>53</v>
      </c>
      <c r="I10" s="8" t="s">
        <v>112</v>
      </c>
      <c r="J10" s="8" t="s">
        <v>113</v>
      </c>
      <c r="K10" s="8" t="s">
        <v>114</v>
      </c>
      <c r="L10" s="8" t="s">
        <v>115</v>
      </c>
      <c r="M10" s="8" t="s">
        <v>45</v>
      </c>
      <c r="N10" s="8" t="s">
        <v>116</v>
      </c>
      <c r="O10" s="8" t="s">
        <v>117</v>
      </c>
      <c r="P10" s="8" t="s">
        <v>48</v>
      </c>
      <c r="Q10" s="10" t="s">
        <v>49</v>
      </c>
    </row>
    <row r="11" customFormat="false" ht="34.5" hidden="false" customHeight="true" outlineLevel="0" collapsed="false">
      <c r="A11" s="8" t="s">
        <v>118</v>
      </c>
      <c r="B11" s="8" t="s">
        <v>119</v>
      </c>
      <c r="C11" s="8" t="s">
        <v>120</v>
      </c>
      <c r="D11" s="8" t="s">
        <v>36</v>
      </c>
      <c r="E11" s="8" t="s">
        <v>37</v>
      </c>
      <c r="F11" s="8" t="s">
        <v>38</v>
      </c>
      <c r="G11" s="8" t="s">
        <v>95</v>
      </c>
      <c r="H11" s="11" t="s">
        <v>53</v>
      </c>
      <c r="I11" s="8" t="s">
        <v>121</v>
      </c>
      <c r="J11" s="8" t="s">
        <v>122</v>
      </c>
      <c r="K11" s="8" t="s">
        <v>123</v>
      </c>
      <c r="L11" s="8" t="s">
        <v>124</v>
      </c>
      <c r="M11" s="8" t="s">
        <v>45</v>
      </c>
      <c r="N11" s="8" t="s">
        <v>125</v>
      </c>
      <c r="O11" s="8" t="s">
        <v>126</v>
      </c>
      <c r="P11" s="8" t="s">
        <v>48</v>
      </c>
      <c r="Q11" s="10" t="s">
        <v>49</v>
      </c>
    </row>
    <row r="12" customFormat="false" ht="34.5" hidden="false" customHeight="true" outlineLevel="0" collapsed="false">
      <c r="A12" s="8" t="s">
        <v>127</v>
      </c>
      <c r="B12" s="8" t="s">
        <v>128</v>
      </c>
      <c r="C12" s="8" t="s">
        <v>129</v>
      </c>
      <c r="D12" s="8" t="s">
        <v>36</v>
      </c>
      <c r="E12" s="8" t="s">
        <v>37</v>
      </c>
      <c r="F12" s="8" t="s">
        <v>38</v>
      </c>
      <c r="G12" s="8" t="s">
        <v>95</v>
      </c>
      <c r="H12" s="11" t="s">
        <v>53</v>
      </c>
      <c r="I12" s="8" t="s">
        <v>130</v>
      </c>
      <c r="J12" s="8" t="s">
        <v>131</v>
      </c>
      <c r="K12" s="8" t="s">
        <v>132</v>
      </c>
      <c r="L12" s="8" t="s">
        <v>133</v>
      </c>
      <c r="M12" s="8" t="s">
        <v>45</v>
      </c>
      <c r="N12" s="8" t="s">
        <v>134</v>
      </c>
      <c r="O12" s="8" t="s">
        <v>135</v>
      </c>
      <c r="P12" s="8" t="s">
        <v>48</v>
      </c>
      <c r="Q12" s="9" t="s">
        <v>59</v>
      </c>
    </row>
    <row r="13" customFormat="false" ht="23.25" hidden="false" customHeight="true" outlineLevel="0" collapsed="false">
      <c r="A13" s="8" t="s">
        <v>136</v>
      </c>
      <c r="B13" s="8" t="s">
        <v>137</v>
      </c>
      <c r="C13" s="8" t="s">
        <v>138</v>
      </c>
      <c r="D13" s="8" t="s">
        <v>36</v>
      </c>
      <c r="E13" s="8" t="s">
        <v>37</v>
      </c>
      <c r="F13" s="8" t="s">
        <v>38</v>
      </c>
      <c r="G13" s="8" t="s">
        <v>139</v>
      </c>
      <c r="H13" s="11" t="s">
        <v>53</v>
      </c>
      <c r="I13" s="8" t="s">
        <v>140</v>
      </c>
      <c r="J13" s="8" t="s">
        <v>141</v>
      </c>
      <c r="K13" s="8" t="s">
        <v>142</v>
      </c>
      <c r="L13" s="8" t="s">
        <v>143</v>
      </c>
      <c r="M13" s="8" t="s">
        <v>45</v>
      </c>
      <c r="N13" s="8" t="s">
        <v>144</v>
      </c>
      <c r="O13" s="8" t="s">
        <v>145</v>
      </c>
      <c r="P13" s="8" t="s">
        <v>48</v>
      </c>
      <c r="Q13" s="9" t="s">
        <v>59</v>
      </c>
    </row>
    <row r="14" customFormat="false" ht="34.5" hidden="false" customHeight="true" outlineLevel="0" collapsed="false">
      <c r="A14" s="8" t="s">
        <v>146</v>
      </c>
      <c r="B14" s="8" t="s">
        <v>147</v>
      </c>
      <c r="C14" s="8" t="s">
        <v>148</v>
      </c>
      <c r="D14" s="8" t="s">
        <v>36</v>
      </c>
      <c r="E14" s="8" t="s">
        <v>37</v>
      </c>
      <c r="F14" s="8" t="s">
        <v>38</v>
      </c>
      <c r="G14" s="8" t="s">
        <v>139</v>
      </c>
      <c r="H14" s="11" t="s">
        <v>53</v>
      </c>
      <c r="I14" s="8" t="s">
        <v>149</v>
      </c>
      <c r="J14" s="8" t="s">
        <v>141</v>
      </c>
      <c r="K14" s="8" t="s">
        <v>150</v>
      </c>
      <c r="L14" s="8" t="s">
        <v>151</v>
      </c>
      <c r="M14" s="8" t="s">
        <v>45</v>
      </c>
      <c r="N14" s="8" t="s">
        <v>152</v>
      </c>
      <c r="O14" s="8" t="s">
        <v>153</v>
      </c>
      <c r="P14" s="8" t="s">
        <v>48</v>
      </c>
      <c r="Q14" s="10" t="s">
        <v>49</v>
      </c>
    </row>
    <row r="15" customFormat="false" ht="23.25" hidden="false" customHeight="true" outlineLevel="0" collapsed="false">
      <c r="A15" s="8" t="s">
        <v>154</v>
      </c>
      <c r="B15" s="8" t="s">
        <v>155</v>
      </c>
      <c r="C15" s="8" t="s">
        <v>156</v>
      </c>
      <c r="D15" s="8" t="s">
        <v>36</v>
      </c>
      <c r="E15" s="8" t="s">
        <v>37</v>
      </c>
      <c r="F15" s="8" t="s">
        <v>38</v>
      </c>
      <c r="G15" s="8" t="s">
        <v>139</v>
      </c>
      <c r="H15" s="11" t="s">
        <v>53</v>
      </c>
      <c r="I15" s="8" t="s">
        <v>157</v>
      </c>
      <c r="J15" s="8"/>
      <c r="K15" s="8" t="s">
        <v>158</v>
      </c>
      <c r="L15" s="8" t="s">
        <v>159</v>
      </c>
      <c r="M15" s="8" t="s">
        <v>45</v>
      </c>
      <c r="N15" s="8" t="s">
        <v>160</v>
      </c>
      <c r="O15" s="8" t="s">
        <v>161</v>
      </c>
      <c r="P15" s="8" t="s">
        <v>48</v>
      </c>
      <c r="Q15" s="10" t="s">
        <v>49</v>
      </c>
    </row>
    <row r="16" customFormat="false" ht="23.25" hidden="false" customHeight="true" outlineLevel="0" collapsed="false">
      <c r="A16" s="8" t="s">
        <v>162</v>
      </c>
      <c r="B16" s="8" t="s">
        <v>163</v>
      </c>
      <c r="C16" s="8" t="s">
        <v>164</v>
      </c>
      <c r="D16" s="8" t="s">
        <v>36</v>
      </c>
      <c r="E16" s="8" t="s">
        <v>37</v>
      </c>
      <c r="F16" s="8" t="s">
        <v>38</v>
      </c>
      <c r="G16" s="8" t="s">
        <v>139</v>
      </c>
      <c r="H16" s="11" t="s">
        <v>53</v>
      </c>
      <c r="I16" s="8" t="s">
        <v>165</v>
      </c>
      <c r="J16" s="8" t="s">
        <v>166</v>
      </c>
      <c r="K16" s="8" t="s">
        <v>167</v>
      </c>
      <c r="L16" s="8" t="s">
        <v>168</v>
      </c>
      <c r="M16" s="8" t="s">
        <v>45</v>
      </c>
      <c r="N16" s="8" t="s">
        <v>169</v>
      </c>
      <c r="O16" s="8" t="s">
        <v>170</v>
      </c>
      <c r="P16" s="8" t="s">
        <v>48</v>
      </c>
      <c r="Q16" s="11" t="s">
        <v>102</v>
      </c>
    </row>
    <row r="17" customFormat="false" ht="23.25" hidden="false" customHeight="true" outlineLevel="0" collapsed="false">
      <c r="A17" s="8" t="s">
        <v>171</v>
      </c>
      <c r="B17" s="8" t="s">
        <v>172</v>
      </c>
      <c r="C17" s="8" t="s">
        <v>173</v>
      </c>
      <c r="D17" s="8" t="s">
        <v>36</v>
      </c>
      <c r="E17" s="8" t="s">
        <v>37</v>
      </c>
      <c r="F17" s="8" t="s">
        <v>38</v>
      </c>
      <c r="G17" s="8" t="s">
        <v>139</v>
      </c>
      <c r="H17" s="9" t="s">
        <v>40</v>
      </c>
      <c r="I17" s="8" t="s">
        <v>174</v>
      </c>
      <c r="J17" s="8"/>
      <c r="K17" s="8" t="s">
        <v>175</v>
      </c>
      <c r="L17" s="8" t="s">
        <v>176</v>
      </c>
      <c r="M17" s="8" t="s">
        <v>45</v>
      </c>
      <c r="N17" s="8" t="s">
        <v>177</v>
      </c>
      <c r="O17" s="8" t="s">
        <v>178</v>
      </c>
      <c r="P17" s="8" t="s">
        <v>48</v>
      </c>
      <c r="Q17" s="11" t="s">
        <v>102</v>
      </c>
    </row>
    <row r="18" customFormat="false" ht="23.25" hidden="false" customHeight="true" outlineLevel="0" collapsed="false">
      <c r="A18" s="8" t="s">
        <v>179</v>
      </c>
      <c r="B18" s="8" t="s">
        <v>180</v>
      </c>
      <c r="C18" s="8" t="s">
        <v>181</v>
      </c>
      <c r="D18" s="8" t="s">
        <v>36</v>
      </c>
      <c r="E18" s="8" t="s">
        <v>37</v>
      </c>
      <c r="F18" s="8" t="s">
        <v>38</v>
      </c>
      <c r="G18" s="8" t="s">
        <v>182</v>
      </c>
      <c r="H18" s="11" t="s">
        <v>53</v>
      </c>
      <c r="I18" s="8" t="s">
        <v>183</v>
      </c>
      <c r="J18" s="8" t="s">
        <v>184</v>
      </c>
      <c r="K18" s="8" t="s">
        <v>185</v>
      </c>
      <c r="L18" s="8" t="s">
        <v>186</v>
      </c>
      <c r="M18" s="8" t="s">
        <v>45</v>
      </c>
      <c r="N18" s="8" t="s">
        <v>187</v>
      </c>
      <c r="O18" s="8" t="s">
        <v>188</v>
      </c>
      <c r="P18" s="8" t="s">
        <v>48</v>
      </c>
      <c r="Q18" s="9" t="s">
        <v>59</v>
      </c>
    </row>
    <row r="19" customFormat="false" ht="23.25" hidden="false" customHeight="true" outlineLevel="0" collapsed="false">
      <c r="A19" s="8" t="s">
        <v>189</v>
      </c>
      <c r="B19" s="8" t="s">
        <v>190</v>
      </c>
      <c r="C19" s="8" t="s">
        <v>191</v>
      </c>
      <c r="D19" s="8" t="s">
        <v>36</v>
      </c>
      <c r="E19" s="8" t="s">
        <v>37</v>
      </c>
      <c r="F19" s="8" t="s">
        <v>38</v>
      </c>
      <c r="G19" s="8" t="s">
        <v>182</v>
      </c>
      <c r="H19" s="11" t="s">
        <v>53</v>
      </c>
      <c r="I19" s="8" t="s">
        <v>192</v>
      </c>
      <c r="J19" s="8"/>
      <c r="K19" s="8" t="s">
        <v>193</v>
      </c>
      <c r="L19" s="8" t="s">
        <v>194</v>
      </c>
      <c r="M19" s="8" t="s">
        <v>45</v>
      </c>
      <c r="N19" s="8" t="s">
        <v>195</v>
      </c>
      <c r="O19" s="8" t="s">
        <v>196</v>
      </c>
      <c r="P19" s="8" t="s">
        <v>48</v>
      </c>
      <c r="Q19" s="11" t="s">
        <v>102</v>
      </c>
    </row>
    <row r="20" customFormat="false" ht="23.25" hidden="false" customHeight="true" outlineLevel="0" collapsed="false">
      <c r="A20" s="8" t="s">
        <v>197</v>
      </c>
      <c r="B20" s="8" t="s">
        <v>198</v>
      </c>
      <c r="C20" s="8" t="s">
        <v>199</v>
      </c>
      <c r="D20" s="8" t="s">
        <v>36</v>
      </c>
      <c r="E20" s="8" t="s">
        <v>37</v>
      </c>
      <c r="F20" s="8" t="s">
        <v>38</v>
      </c>
      <c r="G20" s="8" t="s">
        <v>182</v>
      </c>
      <c r="H20" s="11" t="s">
        <v>53</v>
      </c>
      <c r="I20" s="8" t="s">
        <v>200</v>
      </c>
      <c r="J20" s="8"/>
      <c r="K20" s="8" t="s">
        <v>201</v>
      </c>
      <c r="L20" s="8" t="s">
        <v>202</v>
      </c>
      <c r="M20" s="8" t="s">
        <v>45</v>
      </c>
      <c r="N20" s="8" t="s">
        <v>203</v>
      </c>
      <c r="O20" s="8" t="s">
        <v>204</v>
      </c>
      <c r="P20" s="8" t="s">
        <v>48</v>
      </c>
      <c r="Q20" s="11" t="s">
        <v>102</v>
      </c>
    </row>
    <row r="21" customFormat="false" ht="23.25" hidden="false" customHeight="true" outlineLevel="0" collapsed="false">
      <c r="A21" s="8" t="s">
        <v>205</v>
      </c>
      <c r="B21" s="8" t="s">
        <v>206</v>
      </c>
      <c r="C21" s="8" t="s">
        <v>207</v>
      </c>
      <c r="D21" s="8" t="s">
        <v>36</v>
      </c>
      <c r="E21" s="8" t="s">
        <v>37</v>
      </c>
      <c r="F21" s="8" t="s">
        <v>38</v>
      </c>
      <c r="G21" s="8" t="s">
        <v>182</v>
      </c>
      <c r="H21" s="11" t="s">
        <v>53</v>
      </c>
      <c r="I21" s="8" t="s">
        <v>200</v>
      </c>
      <c r="J21" s="8" t="s">
        <v>208</v>
      </c>
      <c r="K21" s="8" t="s">
        <v>209</v>
      </c>
      <c r="L21" s="8" t="s">
        <v>210</v>
      </c>
      <c r="M21" s="8" t="s">
        <v>45</v>
      </c>
      <c r="N21" s="8" t="s">
        <v>211</v>
      </c>
      <c r="O21" s="8" t="s">
        <v>212</v>
      </c>
      <c r="P21" s="8" t="s">
        <v>48</v>
      </c>
      <c r="Q21" s="11" t="s">
        <v>102</v>
      </c>
    </row>
    <row r="22" customFormat="false" ht="23.25" hidden="false" customHeight="true" outlineLevel="0" collapsed="false">
      <c r="A22" s="8" t="s">
        <v>213</v>
      </c>
      <c r="B22" s="8" t="s">
        <v>214</v>
      </c>
      <c r="C22" s="8" t="s">
        <v>215</v>
      </c>
      <c r="D22" s="8" t="s">
        <v>36</v>
      </c>
      <c r="E22" s="8" t="s">
        <v>37</v>
      </c>
      <c r="F22" s="8" t="s">
        <v>38</v>
      </c>
      <c r="G22" s="8" t="s">
        <v>182</v>
      </c>
      <c r="H22" s="11" t="s">
        <v>53</v>
      </c>
      <c r="I22" s="8" t="s">
        <v>216</v>
      </c>
      <c r="J22" s="8"/>
      <c r="K22" s="8" t="s">
        <v>217</v>
      </c>
      <c r="L22" s="8" t="s">
        <v>218</v>
      </c>
      <c r="M22" s="8" t="s">
        <v>45</v>
      </c>
      <c r="N22" s="8" t="s">
        <v>219</v>
      </c>
      <c r="O22" s="8" t="s">
        <v>66</v>
      </c>
      <c r="P22" s="8" t="s">
        <v>48</v>
      </c>
      <c r="Q22" s="12" t="s">
        <v>67</v>
      </c>
    </row>
    <row r="23" customFormat="false" ht="23.25" hidden="false" customHeight="true" outlineLevel="0" collapsed="false">
      <c r="A23" s="8" t="s">
        <v>220</v>
      </c>
      <c r="B23" s="8" t="s">
        <v>221</v>
      </c>
      <c r="C23" s="8" t="s">
        <v>222</v>
      </c>
      <c r="D23" s="8" t="s">
        <v>36</v>
      </c>
      <c r="E23" s="8" t="s">
        <v>37</v>
      </c>
      <c r="F23" s="8" t="s">
        <v>38</v>
      </c>
      <c r="G23" s="8" t="s">
        <v>182</v>
      </c>
      <c r="H23" s="11" t="s">
        <v>53</v>
      </c>
      <c r="I23" s="8" t="s">
        <v>223</v>
      </c>
      <c r="J23" s="8"/>
      <c r="K23" s="8" t="s">
        <v>224</v>
      </c>
      <c r="L23" s="8" t="s">
        <v>225</v>
      </c>
      <c r="M23" s="8" t="s">
        <v>64</v>
      </c>
      <c r="N23" s="8" t="s">
        <v>226</v>
      </c>
      <c r="O23" s="8" t="s">
        <v>227</v>
      </c>
      <c r="P23" s="8" t="s">
        <v>48</v>
      </c>
      <c r="Q23" s="11" t="s">
        <v>102</v>
      </c>
    </row>
    <row r="24" customFormat="false" ht="23.25" hidden="false" customHeight="true" outlineLevel="0" collapsed="false">
      <c r="A24" s="8" t="s">
        <v>228</v>
      </c>
      <c r="B24" s="8" t="s">
        <v>229</v>
      </c>
      <c r="C24" s="8" t="s">
        <v>230</v>
      </c>
      <c r="D24" s="8" t="s">
        <v>36</v>
      </c>
      <c r="E24" s="8" t="s">
        <v>37</v>
      </c>
      <c r="F24" s="8" t="s">
        <v>38</v>
      </c>
      <c r="G24" s="8" t="s">
        <v>182</v>
      </c>
      <c r="H24" s="11" t="s">
        <v>53</v>
      </c>
      <c r="I24" s="8" t="s">
        <v>231</v>
      </c>
      <c r="J24" s="8" t="s">
        <v>232</v>
      </c>
      <c r="K24" s="8" t="s">
        <v>233</v>
      </c>
      <c r="L24" s="8" t="s">
        <v>234</v>
      </c>
      <c r="M24" s="8" t="s">
        <v>45</v>
      </c>
      <c r="N24" s="8" t="s">
        <v>235</v>
      </c>
      <c r="O24" s="8" t="s">
        <v>236</v>
      </c>
      <c r="P24" s="8" t="s">
        <v>48</v>
      </c>
      <c r="Q24" s="11" t="s">
        <v>102</v>
      </c>
    </row>
    <row r="25" customFormat="false" ht="23.25" hidden="false" customHeight="true" outlineLevel="0" collapsed="false">
      <c r="A25" s="8" t="s">
        <v>237</v>
      </c>
      <c r="B25" s="8" t="s">
        <v>238</v>
      </c>
      <c r="C25" s="8" t="s">
        <v>239</v>
      </c>
      <c r="D25" s="8" t="s">
        <v>36</v>
      </c>
      <c r="E25" s="8" t="s">
        <v>37</v>
      </c>
      <c r="F25" s="8" t="s">
        <v>38</v>
      </c>
      <c r="G25" s="8" t="s">
        <v>182</v>
      </c>
      <c r="H25" s="9" t="s">
        <v>40</v>
      </c>
      <c r="I25" s="8" t="s">
        <v>240</v>
      </c>
      <c r="J25" s="8"/>
      <c r="K25" s="8" t="s">
        <v>241</v>
      </c>
      <c r="L25" s="8" t="s">
        <v>242</v>
      </c>
      <c r="M25" s="8" t="s">
        <v>45</v>
      </c>
      <c r="N25" s="8" t="s">
        <v>243</v>
      </c>
      <c r="O25" s="8" t="s">
        <v>227</v>
      </c>
      <c r="P25" s="8" t="s">
        <v>48</v>
      </c>
      <c r="Q25" s="11" t="s">
        <v>102</v>
      </c>
    </row>
    <row r="26" customFormat="false" ht="23.25" hidden="false" customHeight="true" outlineLevel="0" collapsed="false">
      <c r="A26" s="8" t="s">
        <v>244</v>
      </c>
      <c r="B26" s="8" t="s">
        <v>245</v>
      </c>
      <c r="C26" s="8" t="s">
        <v>246</v>
      </c>
      <c r="D26" s="8" t="s">
        <v>36</v>
      </c>
      <c r="E26" s="8" t="s">
        <v>37</v>
      </c>
      <c r="F26" s="8" t="s">
        <v>38</v>
      </c>
      <c r="G26" s="8" t="s">
        <v>182</v>
      </c>
      <c r="H26" s="9" t="s">
        <v>40</v>
      </c>
      <c r="I26" s="8" t="s">
        <v>247</v>
      </c>
      <c r="J26" s="8" t="s">
        <v>184</v>
      </c>
      <c r="K26" s="8" t="s">
        <v>248</v>
      </c>
      <c r="L26" s="8" t="s">
        <v>249</v>
      </c>
      <c r="M26" s="8" t="s">
        <v>45</v>
      </c>
      <c r="N26" s="8" t="s">
        <v>250</v>
      </c>
      <c r="O26" s="8" t="s">
        <v>236</v>
      </c>
      <c r="P26" s="8" t="s">
        <v>48</v>
      </c>
      <c r="Q26" s="11" t="s">
        <v>102</v>
      </c>
    </row>
    <row r="27" customFormat="false" ht="23.25" hidden="false" customHeight="true" outlineLevel="0" collapsed="false">
      <c r="A27" s="8" t="s">
        <v>251</v>
      </c>
      <c r="B27" s="8" t="s">
        <v>252</v>
      </c>
      <c r="C27" s="8" t="s">
        <v>253</v>
      </c>
      <c r="D27" s="8" t="s">
        <v>36</v>
      </c>
      <c r="E27" s="8" t="s">
        <v>37</v>
      </c>
      <c r="F27" s="8" t="s">
        <v>38</v>
      </c>
      <c r="G27" s="8" t="s">
        <v>182</v>
      </c>
      <c r="H27" s="9" t="s">
        <v>40</v>
      </c>
      <c r="I27" s="8" t="s">
        <v>254</v>
      </c>
      <c r="J27" s="8" t="s">
        <v>97</v>
      </c>
      <c r="K27" s="8" t="s">
        <v>255</v>
      </c>
      <c r="L27" s="8" t="s">
        <v>256</v>
      </c>
      <c r="M27" s="8" t="s">
        <v>64</v>
      </c>
      <c r="N27" s="8" t="s">
        <v>257</v>
      </c>
      <c r="O27" s="8" t="s">
        <v>258</v>
      </c>
      <c r="P27" s="8" t="s">
        <v>48</v>
      </c>
      <c r="Q27" s="11" t="s">
        <v>102</v>
      </c>
    </row>
    <row r="28" customFormat="false" ht="23.25" hidden="false" customHeight="true" outlineLevel="0" collapsed="false">
      <c r="A28" s="8" t="s">
        <v>259</v>
      </c>
      <c r="B28" s="8" t="s">
        <v>260</v>
      </c>
      <c r="C28" s="8" t="s">
        <v>261</v>
      </c>
      <c r="D28" s="8" t="s">
        <v>36</v>
      </c>
      <c r="E28" s="8" t="s">
        <v>37</v>
      </c>
      <c r="F28" s="8" t="s">
        <v>38</v>
      </c>
      <c r="G28" s="8" t="s">
        <v>262</v>
      </c>
      <c r="H28" s="11" t="s">
        <v>53</v>
      </c>
      <c r="I28" s="8" t="s">
        <v>263</v>
      </c>
      <c r="J28" s="8" t="s">
        <v>264</v>
      </c>
      <c r="K28" s="8" t="s">
        <v>265</v>
      </c>
      <c r="L28" s="8" t="s">
        <v>266</v>
      </c>
      <c r="M28" s="8" t="s">
        <v>45</v>
      </c>
      <c r="N28" s="8" t="s">
        <v>267</v>
      </c>
      <c r="O28" s="8" t="s">
        <v>268</v>
      </c>
      <c r="P28" s="8" t="s">
        <v>48</v>
      </c>
      <c r="Q28" s="9" t="s">
        <v>59</v>
      </c>
    </row>
    <row r="29" customFormat="false" ht="23.25" hidden="false" customHeight="true" outlineLevel="0" collapsed="false">
      <c r="A29" s="8" t="s">
        <v>269</v>
      </c>
      <c r="B29" s="8" t="s">
        <v>270</v>
      </c>
      <c r="C29" s="8" t="s">
        <v>271</v>
      </c>
      <c r="D29" s="8" t="s">
        <v>36</v>
      </c>
      <c r="E29" s="8" t="s">
        <v>37</v>
      </c>
      <c r="F29" s="8" t="s">
        <v>38</v>
      </c>
      <c r="G29" s="8" t="s">
        <v>262</v>
      </c>
      <c r="H29" s="11" t="s">
        <v>53</v>
      </c>
      <c r="I29" s="8" t="s">
        <v>272</v>
      </c>
      <c r="J29" s="8"/>
      <c r="K29" s="8" t="s">
        <v>273</v>
      </c>
      <c r="L29" s="8" t="s">
        <v>274</v>
      </c>
      <c r="M29" s="8" t="s">
        <v>45</v>
      </c>
      <c r="N29" s="8" t="s">
        <v>275</v>
      </c>
      <c r="O29" s="8" t="s">
        <v>276</v>
      </c>
      <c r="P29" s="8" t="s">
        <v>48</v>
      </c>
      <c r="Q29" s="9" t="s">
        <v>59</v>
      </c>
    </row>
    <row r="30" customFormat="false" ht="23.25" hidden="false" customHeight="true" outlineLevel="0" collapsed="false">
      <c r="A30" s="8" t="s">
        <v>277</v>
      </c>
      <c r="B30" s="8" t="s">
        <v>278</v>
      </c>
      <c r="C30" s="8" t="s">
        <v>279</v>
      </c>
      <c r="D30" s="8" t="s">
        <v>36</v>
      </c>
      <c r="E30" s="8" t="s">
        <v>37</v>
      </c>
      <c r="F30" s="8" t="s">
        <v>38</v>
      </c>
      <c r="G30" s="8" t="s">
        <v>262</v>
      </c>
      <c r="H30" s="9" t="s">
        <v>40</v>
      </c>
      <c r="I30" s="8" t="s">
        <v>280</v>
      </c>
      <c r="J30" s="8"/>
      <c r="K30" s="8" t="s">
        <v>281</v>
      </c>
      <c r="L30" s="8" t="s">
        <v>282</v>
      </c>
      <c r="M30" s="8" t="s">
        <v>45</v>
      </c>
      <c r="N30" s="8" t="s">
        <v>283</v>
      </c>
      <c r="O30" s="8" t="s">
        <v>284</v>
      </c>
      <c r="P30" s="8" t="s">
        <v>48</v>
      </c>
      <c r="Q30" s="9" t="s">
        <v>59</v>
      </c>
    </row>
    <row r="31" customFormat="false" ht="23.25" hidden="false" customHeight="true" outlineLevel="0" collapsed="false">
      <c r="A31" s="8" t="s">
        <v>285</v>
      </c>
      <c r="B31" s="8" t="s">
        <v>286</v>
      </c>
      <c r="C31" s="8" t="s">
        <v>287</v>
      </c>
      <c r="D31" s="8" t="s">
        <v>36</v>
      </c>
      <c r="E31" s="8" t="s">
        <v>37</v>
      </c>
      <c r="F31" s="8" t="s">
        <v>38</v>
      </c>
      <c r="G31" s="8" t="s">
        <v>262</v>
      </c>
      <c r="H31" s="11" t="s">
        <v>53</v>
      </c>
      <c r="I31" s="8" t="s">
        <v>272</v>
      </c>
      <c r="J31" s="8" t="s">
        <v>288</v>
      </c>
      <c r="K31" s="8" t="s">
        <v>289</v>
      </c>
      <c r="L31" s="8" t="s">
        <v>290</v>
      </c>
      <c r="M31" s="8" t="s">
        <v>45</v>
      </c>
      <c r="N31" s="8" t="s">
        <v>291</v>
      </c>
      <c r="O31" s="8" t="s">
        <v>292</v>
      </c>
      <c r="P31" s="8" t="s">
        <v>48</v>
      </c>
      <c r="Q31" s="9" t="s">
        <v>59</v>
      </c>
    </row>
    <row r="32" customFormat="false" ht="34.5" hidden="false" customHeight="true" outlineLevel="0" collapsed="false">
      <c r="A32" s="8" t="s">
        <v>293</v>
      </c>
      <c r="B32" s="8" t="s">
        <v>294</v>
      </c>
      <c r="C32" s="8" t="s">
        <v>295</v>
      </c>
      <c r="D32" s="8" t="s">
        <v>36</v>
      </c>
      <c r="E32" s="8" t="s">
        <v>37</v>
      </c>
      <c r="F32" s="8" t="s">
        <v>38</v>
      </c>
      <c r="G32" s="8" t="s">
        <v>296</v>
      </c>
      <c r="H32" s="9" t="s">
        <v>40</v>
      </c>
      <c r="I32" s="8" t="s">
        <v>297</v>
      </c>
      <c r="J32" s="8" t="s">
        <v>298</v>
      </c>
      <c r="K32" s="8" t="s">
        <v>299</v>
      </c>
      <c r="L32" s="8" t="s">
        <v>300</v>
      </c>
      <c r="M32" s="8" t="s">
        <v>45</v>
      </c>
      <c r="N32" s="8" t="s">
        <v>301</v>
      </c>
      <c r="O32" s="8" t="s">
        <v>302</v>
      </c>
      <c r="P32" s="8" t="s">
        <v>48</v>
      </c>
      <c r="Q32" s="10" t="s">
        <v>49</v>
      </c>
    </row>
    <row r="33" customFormat="false" ht="23.25" hidden="false" customHeight="true" outlineLevel="0" collapsed="false">
      <c r="A33" s="8" t="s">
        <v>303</v>
      </c>
      <c r="B33" s="8" t="s">
        <v>304</v>
      </c>
      <c r="C33" s="8" t="s">
        <v>305</v>
      </c>
      <c r="D33" s="8" t="s">
        <v>36</v>
      </c>
      <c r="E33" s="8" t="s">
        <v>37</v>
      </c>
      <c r="F33" s="8" t="s">
        <v>38</v>
      </c>
      <c r="G33" s="8" t="s">
        <v>296</v>
      </c>
      <c r="H33" s="9" t="s">
        <v>40</v>
      </c>
      <c r="I33" s="8" t="s">
        <v>306</v>
      </c>
      <c r="J33" s="8"/>
      <c r="K33" s="8" t="s">
        <v>307</v>
      </c>
      <c r="L33" s="8" t="s">
        <v>308</v>
      </c>
      <c r="M33" s="8" t="s">
        <v>45</v>
      </c>
      <c r="N33" s="8" t="s">
        <v>309</v>
      </c>
      <c r="O33" s="8" t="s">
        <v>310</v>
      </c>
      <c r="P33" s="8" t="s">
        <v>48</v>
      </c>
      <c r="Q33" s="9" t="s">
        <v>59</v>
      </c>
    </row>
    <row r="34" customFormat="false" ht="23.25" hidden="false" customHeight="true" outlineLevel="0" collapsed="false">
      <c r="A34" s="8" t="s">
        <v>311</v>
      </c>
      <c r="B34" s="8" t="s">
        <v>312</v>
      </c>
      <c r="C34" s="8" t="s">
        <v>313</v>
      </c>
      <c r="D34" s="8" t="s">
        <v>36</v>
      </c>
      <c r="E34" s="8" t="s">
        <v>37</v>
      </c>
      <c r="F34" s="8" t="s">
        <v>38</v>
      </c>
      <c r="G34" s="8" t="s">
        <v>296</v>
      </c>
      <c r="H34" s="9" t="s">
        <v>40</v>
      </c>
      <c r="I34" s="8" t="s">
        <v>314</v>
      </c>
      <c r="J34" s="8"/>
      <c r="K34" s="8" t="s">
        <v>315</v>
      </c>
      <c r="L34" s="8" t="s">
        <v>316</v>
      </c>
      <c r="M34" s="8" t="s">
        <v>45</v>
      </c>
      <c r="N34" s="8" t="s">
        <v>317</v>
      </c>
      <c r="O34" s="8" t="s">
        <v>318</v>
      </c>
      <c r="P34" s="8" t="s">
        <v>48</v>
      </c>
      <c r="Q34" s="10" t="s">
        <v>49</v>
      </c>
    </row>
    <row r="35" customFormat="false" ht="23.25" hidden="false" customHeight="true" outlineLevel="0" collapsed="false">
      <c r="A35" s="8" t="s">
        <v>319</v>
      </c>
      <c r="B35" s="8" t="s">
        <v>320</v>
      </c>
      <c r="C35" s="8" t="s">
        <v>321</v>
      </c>
      <c r="D35" s="8" t="s">
        <v>36</v>
      </c>
      <c r="E35" s="8" t="s">
        <v>37</v>
      </c>
      <c r="F35" s="8" t="s">
        <v>38</v>
      </c>
      <c r="G35" s="8" t="s">
        <v>296</v>
      </c>
      <c r="H35" s="9" t="s">
        <v>40</v>
      </c>
      <c r="I35" s="8" t="s">
        <v>322</v>
      </c>
      <c r="J35" s="8" t="s">
        <v>323</v>
      </c>
      <c r="K35" s="8" t="s">
        <v>324</v>
      </c>
      <c r="L35" s="8" t="s">
        <v>325</v>
      </c>
      <c r="M35" s="8" t="s">
        <v>45</v>
      </c>
      <c r="N35" s="8" t="s">
        <v>326</v>
      </c>
      <c r="O35" s="8" t="s">
        <v>327</v>
      </c>
      <c r="P35" s="8" t="s">
        <v>48</v>
      </c>
      <c r="Q35" s="11" t="s">
        <v>102</v>
      </c>
    </row>
    <row r="36" customFormat="false" ht="23.25" hidden="false" customHeight="true" outlineLevel="0" collapsed="false">
      <c r="A36" s="8" t="s">
        <v>328</v>
      </c>
      <c r="B36" s="8" t="s">
        <v>329</v>
      </c>
      <c r="C36" s="8" t="s">
        <v>330</v>
      </c>
      <c r="D36" s="8" t="s">
        <v>36</v>
      </c>
      <c r="E36" s="8" t="s">
        <v>37</v>
      </c>
      <c r="F36" s="8" t="s">
        <v>38</v>
      </c>
      <c r="G36" s="8" t="s">
        <v>331</v>
      </c>
      <c r="H36" s="9" t="s">
        <v>40</v>
      </c>
      <c r="I36" s="8" t="s">
        <v>332</v>
      </c>
      <c r="J36" s="8" t="s">
        <v>166</v>
      </c>
      <c r="K36" s="8" t="s">
        <v>333</v>
      </c>
      <c r="L36" s="8" t="s">
        <v>334</v>
      </c>
      <c r="M36" s="8" t="s">
        <v>45</v>
      </c>
      <c r="N36" s="8" t="s">
        <v>335</v>
      </c>
      <c r="O36" s="8" t="s">
        <v>336</v>
      </c>
      <c r="P36" s="8" t="s">
        <v>48</v>
      </c>
      <c r="Q36" s="10" t="s">
        <v>49</v>
      </c>
    </row>
    <row r="37" customFormat="false" ht="23.25" hidden="false" customHeight="true" outlineLevel="0" collapsed="false">
      <c r="A37" s="8" t="s">
        <v>337</v>
      </c>
      <c r="B37" s="8" t="s">
        <v>338</v>
      </c>
      <c r="C37" s="8" t="s">
        <v>339</v>
      </c>
      <c r="D37" s="8" t="s">
        <v>36</v>
      </c>
      <c r="E37" s="8" t="s">
        <v>37</v>
      </c>
      <c r="F37" s="8" t="s">
        <v>38</v>
      </c>
      <c r="G37" s="8" t="s">
        <v>331</v>
      </c>
      <c r="H37" s="9" t="s">
        <v>40</v>
      </c>
      <c r="I37" s="8" t="s">
        <v>340</v>
      </c>
      <c r="J37" s="8" t="s">
        <v>341</v>
      </c>
      <c r="K37" s="8" t="s">
        <v>342</v>
      </c>
      <c r="L37" s="8" t="s">
        <v>343</v>
      </c>
      <c r="M37" s="8" t="s">
        <v>45</v>
      </c>
      <c r="N37" s="8" t="s">
        <v>344</v>
      </c>
      <c r="O37" s="8" t="s">
        <v>345</v>
      </c>
      <c r="P37" s="8" t="s">
        <v>48</v>
      </c>
      <c r="Q37" s="9" t="s">
        <v>59</v>
      </c>
    </row>
    <row r="38" customFormat="false" ht="34.5" hidden="false" customHeight="true" outlineLevel="0" collapsed="false">
      <c r="A38" s="8" t="s">
        <v>346</v>
      </c>
      <c r="B38" s="8" t="s">
        <v>347</v>
      </c>
      <c r="C38" s="8" t="s">
        <v>348</v>
      </c>
      <c r="D38" s="8" t="s">
        <v>36</v>
      </c>
      <c r="E38" s="8" t="s">
        <v>37</v>
      </c>
      <c r="F38" s="8" t="s">
        <v>38</v>
      </c>
      <c r="G38" s="8" t="s">
        <v>331</v>
      </c>
      <c r="H38" s="9" t="s">
        <v>40</v>
      </c>
      <c r="I38" s="8" t="s">
        <v>349</v>
      </c>
      <c r="J38" s="8" t="s">
        <v>341</v>
      </c>
      <c r="K38" s="8" t="s">
        <v>350</v>
      </c>
      <c r="L38" s="8" t="s">
        <v>351</v>
      </c>
      <c r="M38" s="8" t="s">
        <v>45</v>
      </c>
      <c r="N38" s="8" t="s">
        <v>352</v>
      </c>
      <c r="O38" s="8" t="s">
        <v>353</v>
      </c>
      <c r="P38" s="8" t="s">
        <v>48</v>
      </c>
      <c r="Q38" s="10" t="s">
        <v>49</v>
      </c>
    </row>
    <row r="39" customFormat="false" ht="23.25" hidden="false" customHeight="true" outlineLevel="0" collapsed="false">
      <c r="A39" s="8" t="s">
        <v>354</v>
      </c>
      <c r="B39" s="8" t="s">
        <v>355</v>
      </c>
      <c r="C39" s="8" t="s">
        <v>356</v>
      </c>
      <c r="D39" s="8" t="s">
        <v>36</v>
      </c>
      <c r="E39" s="8" t="s">
        <v>37</v>
      </c>
      <c r="F39" s="8" t="s">
        <v>38</v>
      </c>
      <c r="G39" s="8" t="s">
        <v>331</v>
      </c>
      <c r="H39" s="9" t="s">
        <v>40</v>
      </c>
      <c r="I39" s="8" t="s">
        <v>357</v>
      </c>
      <c r="J39" s="8"/>
      <c r="K39" s="8" t="s">
        <v>358</v>
      </c>
      <c r="L39" s="8" t="s">
        <v>359</v>
      </c>
      <c r="M39" s="8" t="s">
        <v>45</v>
      </c>
      <c r="N39" s="8" t="s">
        <v>360</v>
      </c>
      <c r="O39" s="8" t="s">
        <v>361</v>
      </c>
      <c r="P39" s="8" t="s">
        <v>48</v>
      </c>
      <c r="Q39" s="9" t="s">
        <v>59</v>
      </c>
    </row>
    <row r="40" customFormat="false" ht="23.25" hidden="false" customHeight="true" outlineLevel="0" collapsed="false">
      <c r="A40" s="8" t="s">
        <v>362</v>
      </c>
      <c r="B40" s="8" t="s">
        <v>363</v>
      </c>
      <c r="C40" s="8" t="s">
        <v>364</v>
      </c>
      <c r="D40" s="8" t="s">
        <v>36</v>
      </c>
      <c r="E40" s="8" t="s">
        <v>37</v>
      </c>
      <c r="F40" s="8" t="s">
        <v>38</v>
      </c>
      <c r="G40" s="8" t="s">
        <v>331</v>
      </c>
      <c r="H40" s="9" t="s">
        <v>40</v>
      </c>
      <c r="I40" s="8" t="s">
        <v>365</v>
      </c>
      <c r="J40" s="8" t="s">
        <v>341</v>
      </c>
      <c r="K40" s="8" t="s">
        <v>366</v>
      </c>
      <c r="L40" s="8" t="s">
        <v>367</v>
      </c>
      <c r="M40" s="8" t="s">
        <v>45</v>
      </c>
      <c r="N40" s="8" t="s">
        <v>368</v>
      </c>
      <c r="O40" s="8" t="s">
        <v>369</v>
      </c>
      <c r="P40" s="8" t="s">
        <v>48</v>
      </c>
      <c r="Q40" s="9" t="s">
        <v>59</v>
      </c>
    </row>
    <row r="41" customFormat="false" ht="23.25" hidden="false" customHeight="true" outlineLevel="0" collapsed="false">
      <c r="A41" s="8" t="s">
        <v>370</v>
      </c>
      <c r="B41" s="8" t="s">
        <v>371</v>
      </c>
      <c r="C41" s="8" t="s">
        <v>372</v>
      </c>
      <c r="D41" s="8" t="s">
        <v>36</v>
      </c>
      <c r="E41" s="8" t="s">
        <v>37</v>
      </c>
      <c r="F41" s="8" t="s">
        <v>38</v>
      </c>
      <c r="G41" s="8" t="s">
        <v>331</v>
      </c>
      <c r="H41" s="9" t="s">
        <v>40</v>
      </c>
      <c r="I41" s="8" t="s">
        <v>373</v>
      </c>
      <c r="J41" s="8"/>
      <c r="K41" s="8" t="s">
        <v>374</v>
      </c>
      <c r="L41" s="8" t="s">
        <v>375</v>
      </c>
      <c r="M41" s="8" t="s">
        <v>45</v>
      </c>
      <c r="N41" s="8" t="s">
        <v>376</v>
      </c>
      <c r="O41" s="8" t="s">
        <v>377</v>
      </c>
      <c r="P41" s="8" t="s">
        <v>48</v>
      </c>
      <c r="Q41" s="12" t="s">
        <v>67</v>
      </c>
    </row>
    <row r="42" customFormat="false" ht="23.25" hidden="false" customHeight="true" outlineLevel="0" collapsed="false">
      <c r="A42" s="8" t="s">
        <v>378</v>
      </c>
      <c r="B42" s="8" t="s">
        <v>379</v>
      </c>
      <c r="C42" s="8" t="s">
        <v>380</v>
      </c>
      <c r="D42" s="8" t="s">
        <v>36</v>
      </c>
      <c r="E42" s="8" t="s">
        <v>37</v>
      </c>
      <c r="F42" s="8" t="s">
        <v>38</v>
      </c>
      <c r="G42" s="8" t="s">
        <v>381</v>
      </c>
      <c r="H42" s="9" t="s">
        <v>40</v>
      </c>
      <c r="I42" s="8" t="s">
        <v>382</v>
      </c>
      <c r="J42" s="8" t="s">
        <v>383</v>
      </c>
      <c r="K42" s="8" t="s">
        <v>384</v>
      </c>
      <c r="L42" s="8" t="s">
        <v>385</v>
      </c>
      <c r="M42" s="8" t="s">
        <v>45</v>
      </c>
      <c r="N42" s="8" t="s">
        <v>386</v>
      </c>
      <c r="O42" s="8" t="s">
        <v>387</v>
      </c>
      <c r="P42" s="8" t="s">
        <v>48</v>
      </c>
      <c r="Q42" s="12" t="s">
        <v>67</v>
      </c>
    </row>
    <row r="43" customFormat="false" ht="34.5" hidden="false" customHeight="true" outlineLevel="0" collapsed="false">
      <c r="A43" s="8" t="s">
        <v>388</v>
      </c>
      <c r="B43" s="8" t="s">
        <v>389</v>
      </c>
      <c r="C43" s="8" t="s">
        <v>390</v>
      </c>
      <c r="D43" s="8" t="s">
        <v>36</v>
      </c>
      <c r="E43" s="8" t="s">
        <v>37</v>
      </c>
      <c r="F43" s="8" t="s">
        <v>38</v>
      </c>
      <c r="G43" s="8" t="s">
        <v>391</v>
      </c>
      <c r="H43" s="9" t="s">
        <v>40</v>
      </c>
      <c r="I43" s="8" t="s">
        <v>392</v>
      </c>
      <c r="J43" s="8" t="s">
        <v>393</v>
      </c>
      <c r="K43" s="8" t="s">
        <v>394</v>
      </c>
      <c r="L43" s="8" t="s">
        <v>395</v>
      </c>
      <c r="M43" s="8" t="s">
        <v>396</v>
      </c>
      <c r="N43" s="8" t="s">
        <v>397</v>
      </c>
      <c r="O43" s="8" t="s">
        <v>398</v>
      </c>
      <c r="P43" s="8" t="s">
        <v>48</v>
      </c>
      <c r="Q43" s="9" t="s">
        <v>59</v>
      </c>
    </row>
  </sheetData>
  <autoFilter ref="A1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70"/>
  </cols>
  <sheetData>
    <row r="1" customFormat="false" ht="15" hidden="false" customHeight="true" outlineLevel="0" collapsed="false">
      <c r="A1" s="7" t="s">
        <v>399</v>
      </c>
      <c r="B1" s="7" t="s">
        <v>400</v>
      </c>
      <c r="C1" s="7" t="s">
        <v>401</v>
      </c>
      <c r="D1" s="7" t="s">
        <v>402</v>
      </c>
    </row>
    <row r="2" customFormat="false" ht="15" hidden="false" customHeight="true" outlineLevel="0" collapsed="false">
      <c r="A2" s="8" t="s">
        <v>403</v>
      </c>
      <c r="B2" s="8" t="s">
        <v>404</v>
      </c>
      <c r="C2" s="8" t="s">
        <v>405</v>
      </c>
      <c r="D2" s="8" t="s">
        <v>406</v>
      </c>
    </row>
    <row r="3" customFormat="false" ht="15" hidden="false" customHeight="true" outlineLevel="0" collapsed="false">
      <c r="A3" s="8" t="s">
        <v>407</v>
      </c>
      <c r="B3" s="8" t="s">
        <v>404</v>
      </c>
      <c r="C3" s="8" t="s">
        <v>405</v>
      </c>
      <c r="D3" s="8" t="s">
        <v>408</v>
      </c>
    </row>
    <row r="4" customFormat="false" ht="15" hidden="false" customHeight="true" outlineLevel="0" collapsed="false">
      <c r="A4" s="8" t="s">
        <v>409</v>
      </c>
      <c r="B4" s="8" t="s">
        <v>410</v>
      </c>
      <c r="C4" s="8" t="s">
        <v>405</v>
      </c>
      <c r="D4" s="8" t="s">
        <v>411</v>
      </c>
    </row>
    <row r="5" customFormat="false" ht="15" hidden="false" customHeight="true" outlineLevel="0" collapsed="false">
      <c r="A5" s="8" t="s">
        <v>412</v>
      </c>
      <c r="B5" s="8" t="s">
        <v>410</v>
      </c>
      <c r="C5" s="8" t="s">
        <v>413</v>
      </c>
      <c r="D5" s="8" t="s">
        <v>414</v>
      </c>
    </row>
    <row r="6" customFormat="false" ht="15" hidden="false" customHeight="true" outlineLevel="0" collapsed="false">
      <c r="A6" s="8" t="s">
        <v>415</v>
      </c>
      <c r="B6" s="8" t="s">
        <v>404</v>
      </c>
      <c r="C6" s="8" t="s">
        <v>405</v>
      </c>
      <c r="D6" s="8" t="s">
        <v>416</v>
      </c>
    </row>
    <row r="7" customFormat="false" ht="15" hidden="false" customHeight="true" outlineLevel="0" collapsed="false">
      <c r="A7" s="8" t="s">
        <v>417</v>
      </c>
      <c r="B7" s="8" t="s">
        <v>404</v>
      </c>
      <c r="C7" s="8" t="s">
        <v>405</v>
      </c>
      <c r="D7" s="8" t="s">
        <v>418</v>
      </c>
    </row>
    <row r="8" customFormat="false" ht="15" hidden="false" customHeight="true" outlineLevel="0" collapsed="false">
      <c r="A8" s="8" t="s">
        <v>419</v>
      </c>
      <c r="B8" s="8" t="s">
        <v>420</v>
      </c>
      <c r="C8" s="8" t="s">
        <v>405</v>
      </c>
      <c r="D8" s="8" t="s">
        <v>421</v>
      </c>
    </row>
    <row r="9" customFormat="false" ht="15" hidden="false" customHeight="true" outlineLevel="0" collapsed="false">
      <c r="A9" s="8" t="s">
        <v>422</v>
      </c>
      <c r="B9" s="8" t="s">
        <v>404</v>
      </c>
      <c r="C9" s="8" t="s">
        <v>405</v>
      </c>
      <c r="D9" s="8" t="s">
        <v>423</v>
      </c>
    </row>
    <row r="10" customFormat="false" ht="15" hidden="false" customHeight="true" outlineLevel="0" collapsed="false">
      <c r="A10" s="8" t="s">
        <v>424</v>
      </c>
      <c r="B10" s="8" t="s">
        <v>420</v>
      </c>
      <c r="C10" s="8" t="s">
        <v>405</v>
      </c>
      <c r="D10" s="8" t="s">
        <v>425</v>
      </c>
    </row>
    <row r="11" customFormat="false" ht="15" hidden="false" customHeight="true" outlineLevel="0" collapsed="false">
      <c r="A11" s="8" t="s">
        <v>426</v>
      </c>
      <c r="B11" s="8" t="s">
        <v>404</v>
      </c>
      <c r="C11" s="8" t="s">
        <v>427</v>
      </c>
      <c r="D11" s="8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6"/>
    <col collapsed="false" customWidth="true" hidden="false" outlineLevel="0" max="3" min="3" style="1" width="60"/>
  </cols>
  <sheetData>
    <row r="1" customFormat="false" ht="15" hidden="false" customHeight="true" outlineLevel="0" collapsed="false">
      <c r="A1" s="7" t="s">
        <v>429</v>
      </c>
      <c r="B1" s="7" t="s">
        <v>430</v>
      </c>
      <c r="C1" s="7" t="s">
        <v>431</v>
      </c>
    </row>
    <row r="2" customFormat="false" ht="15" hidden="false" customHeight="true" outlineLevel="0" collapsed="false">
      <c r="A2" s="8" t="s">
        <v>432</v>
      </c>
      <c r="B2" s="8" t="s">
        <v>433</v>
      </c>
      <c r="C2" s="8" t="s">
        <v>434</v>
      </c>
    </row>
    <row r="3" customFormat="false" ht="15" hidden="false" customHeight="true" outlineLevel="0" collapsed="false">
      <c r="A3" s="8" t="s">
        <v>435</v>
      </c>
      <c r="B3" s="8" t="s">
        <v>436</v>
      </c>
      <c r="C3" s="8" t="s">
        <v>437</v>
      </c>
    </row>
    <row r="4" customFormat="false" ht="23.25" hidden="false" customHeight="true" outlineLevel="0" collapsed="false">
      <c r="A4" s="8" t="s">
        <v>438</v>
      </c>
      <c r="B4" s="8" t="s">
        <v>439</v>
      </c>
      <c r="C4" s="8" t="s">
        <v>440</v>
      </c>
    </row>
    <row r="5" customFormat="false" ht="15" hidden="false" customHeight="true" outlineLevel="0" collapsed="false">
      <c r="A5" s="8" t="s">
        <v>441</v>
      </c>
      <c r="B5" s="8" t="s">
        <v>442</v>
      </c>
      <c r="C5" s="8" t="s">
        <v>293</v>
      </c>
    </row>
    <row r="6" customFormat="false" ht="23.25" hidden="false" customHeight="true" outlineLevel="0" collapsed="false">
      <c r="A6" s="8" t="s">
        <v>443</v>
      </c>
      <c r="B6" s="8" t="s">
        <v>444</v>
      </c>
      <c r="C6" s="8" t="s">
        <v>445</v>
      </c>
    </row>
    <row r="7" customFormat="false" ht="15" hidden="false" customHeight="true" outlineLevel="0" collapsed="false">
      <c r="A7" s="8" t="s">
        <v>446</v>
      </c>
      <c r="B7" s="8" t="s">
        <v>447</v>
      </c>
      <c r="C7" s="8" t="s">
        <v>448</v>
      </c>
    </row>
    <row r="8" customFormat="false" ht="23.25" hidden="false" customHeight="true" outlineLevel="0" collapsed="false">
      <c r="A8" s="8" t="s">
        <v>449</v>
      </c>
      <c r="B8" s="8" t="s">
        <v>450</v>
      </c>
      <c r="C8" s="8" t="s">
        <v>451</v>
      </c>
    </row>
    <row r="9" customFormat="false" ht="23.25" hidden="false" customHeight="true" outlineLevel="0" collapsed="false">
      <c r="A9" s="8" t="s">
        <v>452</v>
      </c>
      <c r="B9" s="8" t="s">
        <v>453</v>
      </c>
      <c r="C9" s="8" t="s">
        <v>454</v>
      </c>
    </row>
    <row r="10" customFormat="false" ht="15" hidden="false" customHeight="true" outlineLevel="0" collapsed="false">
      <c r="A10" s="8" t="s">
        <v>455</v>
      </c>
      <c r="B10" s="8" t="s">
        <v>456</v>
      </c>
      <c r="C10" s="8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</cols>
  <sheetData>
    <row r="1" customFormat="false" ht="15" hidden="false" customHeight="true" outlineLevel="0" collapsed="false">
      <c r="A1" s="7" t="s">
        <v>458</v>
      </c>
      <c r="B1" s="7" t="s">
        <v>459</v>
      </c>
    </row>
    <row r="2" customFormat="false" ht="15" hidden="false" customHeight="true" outlineLevel="0" collapsed="false">
      <c r="A2" s="8" t="s">
        <v>33</v>
      </c>
      <c r="B2" s="8" t="str">
        <f aca="false">IF(COUNTIF(Event_Catalogue!A:A,A2)&gt;0,"Yes","No")</f>
        <v>Yes</v>
      </c>
    </row>
    <row r="3" customFormat="false" ht="15" hidden="false" customHeight="true" outlineLevel="0" collapsed="false">
      <c r="A3" s="8" t="s">
        <v>50</v>
      </c>
      <c r="B3" s="8" t="str">
        <f aca="false">IF(COUNTIF(Event_Catalogue!A:A,A3)&gt;0,"Yes","No")</f>
        <v>Yes</v>
      </c>
    </row>
    <row r="4" customFormat="false" ht="15" hidden="false" customHeight="true" outlineLevel="0" collapsed="false">
      <c r="A4" s="8" t="s">
        <v>60</v>
      </c>
      <c r="B4" s="8" t="str">
        <f aca="false">IF(COUNTIF(Event_Catalogue!A:A,A4)&gt;0,"Yes","No")</f>
        <v>Yes</v>
      </c>
    </row>
    <row r="5" customFormat="false" ht="15" hidden="false" customHeight="true" outlineLevel="0" collapsed="false">
      <c r="A5" s="8" t="s">
        <v>68</v>
      </c>
      <c r="B5" s="8" t="str">
        <f aca="false">IF(COUNTIF(Event_Catalogue!A:A,A5)&gt;0,"Yes","No")</f>
        <v>Yes</v>
      </c>
    </row>
    <row r="6" customFormat="false" ht="15" hidden="false" customHeight="true" outlineLevel="0" collapsed="false">
      <c r="A6" s="8" t="s">
        <v>76</v>
      </c>
      <c r="B6" s="8" t="str">
        <f aca="false">IF(COUNTIF(Event_Catalogue!A:A,A6)&gt;0,"Yes","No")</f>
        <v>Yes</v>
      </c>
    </row>
    <row r="7" customFormat="false" ht="15" hidden="false" customHeight="true" outlineLevel="0" collapsed="false">
      <c r="A7" s="8" t="s">
        <v>92</v>
      </c>
      <c r="B7" s="8" t="str">
        <f aca="false">IF(COUNTIF(Event_Catalogue!A:A,A7)&gt;0,"Yes","No")</f>
        <v>Yes</v>
      </c>
    </row>
    <row r="8" customFormat="false" ht="15" hidden="false" customHeight="true" outlineLevel="0" collapsed="false">
      <c r="A8" s="8" t="s">
        <v>103</v>
      </c>
      <c r="B8" s="8" t="str">
        <f aca="false">IF(COUNTIF(Event_Catalogue!A:A,A8)&gt;0,"Yes","No")</f>
        <v>Yes</v>
      </c>
    </row>
    <row r="9" customFormat="false" ht="15" hidden="false" customHeight="true" outlineLevel="0" collapsed="false">
      <c r="A9" s="8" t="s">
        <v>109</v>
      </c>
      <c r="B9" s="8" t="str">
        <f aca="false">IF(COUNTIF(Event_Catalogue!A:A,A9)&gt;0,"Yes","No")</f>
        <v>Yes</v>
      </c>
    </row>
    <row r="10" customFormat="false" ht="15" hidden="false" customHeight="true" outlineLevel="0" collapsed="false">
      <c r="A10" s="8" t="s">
        <v>118</v>
      </c>
      <c r="B10" s="8" t="str">
        <f aca="false">IF(COUNTIF(Event_Catalogue!A:A,A10)&gt;0,"Yes","No")</f>
        <v>Yes</v>
      </c>
    </row>
    <row r="11" customFormat="false" ht="15" hidden="false" customHeight="true" outlineLevel="0" collapsed="false">
      <c r="A11" s="8" t="s">
        <v>127</v>
      </c>
      <c r="B11" s="8" t="str">
        <f aca="false">IF(COUNTIF(Event_Catalogue!A:A,A11)&gt;0,"Yes","No")</f>
        <v>Yes</v>
      </c>
    </row>
    <row r="12" customFormat="false" ht="15" hidden="false" customHeight="true" outlineLevel="0" collapsed="false">
      <c r="A12" s="8" t="s">
        <v>146</v>
      </c>
      <c r="B12" s="8" t="str">
        <f aca="false">IF(COUNTIF(Event_Catalogue!A:A,A12)&gt;0,"Yes","No")</f>
        <v>Yes</v>
      </c>
    </row>
    <row r="13" customFormat="false" ht="15" hidden="false" customHeight="true" outlineLevel="0" collapsed="false">
      <c r="A13" s="8" t="s">
        <v>136</v>
      </c>
      <c r="B13" s="8" t="str">
        <f aca="false">IF(COUNTIF(Event_Catalogue!A:A,A13)&gt;0,"Yes","No")</f>
        <v>Yes</v>
      </c>
    </row>
    <row r="14" customFormat="false" ht="15" hidden="false" customHeight="true" outlineLevel="0" collapsed="false">
      <c r="A14" s="8" t="s">
        <v>154</v>
      </c>
      <c r="B14" s="8" t="str">
        <f aca="false">IF(COUNTIF(Event_Catalogue!A:A,A14)&gt;0,"Yes","No")</f>
        <v>Yes</v>
      </c>
    </row>
    <row r="15" customFormat="false" ht="15" hidden="false" customHeight="true" outlineLevel="0" collapsed="false">
      <c r="A15" s="8" t="s">
        <v>179</v>
      </c>
      <c r="B15" s="8" t="str">
        <f aca="false">IF(COUNTIF(Event_Catalogue!A:A,A15)&gt;0,"Yes","No")</f>
        <v>Yes</v>
      </c>
    </row>
    <row r="16" customFormat="false" ht="15" hidden="false" customHeight="true" outlineLevel="0" collapsed="false">
      <c r="A16" s="8" t="s">
        <v>189</v>
      </c>
      <c r="B16" s="8" t="str">
        <f aca="false">IF(COUNTIF(Event_Catalogue!A:A,A16)&gt;0,"Yes","No")</f>
        <v>Yes</v>
      </c>
    </row>
    <row r="17" customFormat="false" ht="15" hidden="false" customHeight="true" outlineLevel="0" collapsed="false">
      <c r="A17" s="8" t="s">
        <v>197</v>
      </c>
      <c r="B17" s="8" t="str">
        <f aca="false">IF(COUNTIF(Event_Catalogue!A:A,A17)&gt;0,"Yes","No")</f>
        <v>Yes</v>
      </c>
    </row>
    <row r="18" customFormat="false" ht="15" hidden="false" customHeight="true" outlineLevel="0" collapsed="false">
      <c r="A18" s="8" t="s">
        <v>205</v>
      </c>
      <c r="B18" s="8" t="str">
        <f aca="false">IF(COUNTIF(Event_Catalogue!A:A,A18)&gt;0,"Yes","No")</f>
        <v>Yes</v>
      </c>
    </row>
    <row r="19" customFormat="false" ht="15" hidden="false" customHeight="true" outlineLevel="0" collapsed="false">
      <c r="A19" s="8" t="s">
        <v>213</v>
      </c>
      <c r="B19" s="8" t="str">
        <f aca="false">IF(COUNTIF(Event_Catalogue!A:A,A19)&gt;0,"Yes","No")</f>
        <v>Yes</v>
      </c>
    </row>
    <row r="20" customFormat="false" ht="15" hidden="false" customHeight="true" outlineLevel="0" collapsed="false">
      <c r="A20" s="8" t="s">
        <v>220</v>
      </c>
      <c r="B20" s="8" t="str">
        <f aca="false">IF(COUNTIF(Event_Catalogue!A:A,A20)&gt;0,"Yes","No")</f>
        <v>Yes</v>
      </c>
    </row>
    <row r="21" customFormat="false" ht="15" hidden="false" customHeight="true" outlineLevel="0" collapsed="false">
      <c r="A21" s="8" t="s">
        <v>228</v>
      </c>
      <c r="B21" s="8" t="str">
        <f aca="false">IF(COUNTIF(Event_Catalogue!A:A,A21)&gt;0,"Yes","No")</f>
        <v>Yes</v>
      </c>
    </row>
    <row r="22" customFormat="false" ht="15" hidden="false" customHeight="true" outlineLevel="0" collapsed="false">
      <c r="A22" s="8" t="s">
        <v>259</v>
      </c>
      <c r="B22" s="8" t="str">
        <f aca="false">IF(COUNTIF(Event_Catalogue!A:A,A22)&gt;0,"Yes","No")</f>
        <v>Yes</v>
      </c>
    </row>
    <row r="23" customFormat="false" ht="15" hidden="false" customHeight="true" outlineLevel="0" collapsed="false">
      <c r="A23" s="8" t="s">
        <v>269</v>
      </c>
      <c r="B23" s="8" t="str">
        <f aca="false">IF(COUNTIF(Event_Catalogue!A:A,A23)&gt;0,"Yes","No")</f>
        <v>Yes</v>
      </c>
    </row>
    <row r="24" customFormat="false" ht="15" hidden="false" customHeight="true" outlineLevel="0" collapsed="false">
      <c r="A24" s="8" t="s">
        <v>277</v>
      </c>
      <c r="B24" s="8" t="str">
        <f aca="false">IF(COUNTIF(Event_Catalogue!A:A,A24)&gt;0,"Yes","No")</f>
        <v>Yes</v>
      </c>
    </row>
    <row r="25" customFormat="false" ht="15" hidden="false" customHeight="true" outlineLevel="0" collapsed="false">
      <c r="A25" s="8" t="s">
        <v>285</v>
      </c>
      <c r="B25" s="8" t="str">
        <f aca="false">IF(COUNTIF(Event_Catalogue!A:A,A25)&gt;0,"Yes","No")</f>
        <v>Yes</v>
      </c>
    </row>
    <row r="26" customFormat="false" ht="15" hidden="false" customHeight="true" outlineLevel="0" collapsed="false">
      <c r="A26" s="8" t="s">
        <v>293</v>
      </c>
      <c r="B26" s="8" t="str">
        <f aca="false">IF(COUNTIF(Event_Catalogue!A:A,A26)&gt;0,"Yes","No")</f>
        <v>Yes</v>
      </c>
    </row>
    <row r="27" customFormat="false" ht="15" hidden="false" customHeight="true" outlineLevel="0" collapsed="false">
      <c r="A27" s="8" t="s">
        <v>303</v>
      </c>
      <c r="B27" s="8" t="str">
        <f aca="false">IF(COUNTIF(Event_Catalogue!A:A,A27)&gt;0,"Yes","No")</f>
        <v>Yes</v>
      </c>
    </row>
    <row r="28" customFormat="false" ht="15" hidden="false" customHeight="true" outlineLevel="0" collapsed="false">
      <c r="A28" s="8" t="s">
        <v>311</v>
      </c>
      <c r="B28" s="8" t="str">
        <f aca="false">IF(COUNTIF(Event_Catalogue!A:A,A28)&gt;0,"Yes","No")</f>
        <v>Yes</v>
      </c>
    </row>
    <row r="29" customFormat="false" ht="15" hidden="false" customHeight="true" outlineLevel="0" collapsed="false">
      <c r="A29" s="8" t="s">
        <v>328</v>
      </c>
      <c r="B29" s="8" t="str">
        <f aca="false">IF(COUNTIF(Event_Catalogue!A:A,A29)&gt;0,"Yes","No")</f>
        <v>Yes</v>
      </c>
    </row>
    <row r="30" customFormat="false" ht="15" hidden="false" customHeight="true" outlineLevel="0" collapsed="false">
      <c r="A30" s="8" t="s">
        <v>337</v>
      </c>
      <c r="B30" s="8" t="str">
        <f aca="false">IF(COUNTIF(Event_Catalogue!A:A,A30)&gt;0,"Yes","No")</f>
        <v>Yes</v>
      </c>
    </row>
    <row r="31" customFormat="false" ht="15" hidden="false" customHeight="true" outlineLevel="0" collapsed="false">
      <c r="A31" s="8" t="s">
        <v>346</v>
      </c>
      <c r="B31" s="8" t="str">
        <f aca="false">IF(COUNTIF(Event_Catalogue!A:A,A31)&gt;0,"Yes","No")</f>
        <v>Yes</v>
      </c>
    </row>
    <row r="32" customFormat="false" ht="15" hidden="false" customHeight="true" outlineLevel="0" collapsed="false">
      <c r="A32" s="8" t="s">
        <v>354</v>
      </c>
      <c r="B32" s="8" t="str">
        <f aca="false">IF(COUNTIF(Event_Catalogue!A:A,A32)&gt;0,"Yes","No")</f>
        <v>Yes</v>
      </c>
    </row>
    <row r="33" customFormat="false" ht="15" hidden="false" customHeight="true" outlineLevel="0" collapsed="false">
      <c r="A33" s="8" t="s">
        <v>362</v>
      </c>
      <c r="B33" s="8" t="str">
        <f aca="false">IF(COUNTIF(Event_Catalogue!A:A,A33)&gt;0,"Yes","No")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2026-10-08T06:02:18Z</dcterms:created>
  <dc:creator>openpyxl</dc:creator>
  <dc:description/>
  <dc:language>en-US</dc:language>
  <cp:lastModifiedBy/>
  <dcterms:modified xsi:type="dcterms:W3CDTF">2026-10-13T06:04:36Z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