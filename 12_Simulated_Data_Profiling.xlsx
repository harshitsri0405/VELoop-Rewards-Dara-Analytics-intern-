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12.xml" ContentType="application/vnd.openxmlformats-officedocument.spreadsheetml.worksheet+xml"/>
  <Override PartName="/xl/worksheets/sheet7.xml" ContentType="application/vnd.openxmlformats-officedocument.spreadsheetml.worksheet+xml"/>
  <Override PartName="/xl/worksheets/sheet13.xml" ContentType="application/vnd.openxmlformats-officedocument.spreadsheetml.worksheet+xml"/>
  <Override PartName="/xl/worksheets/sheet8.xml" ContentType="application/vnd.openxmlformats-officedocument.spreadsheetml.worksheet+xml"/>
  <Override PartName="/xl/worksheets/sheet14.xml" ContentType="application/vnd.openxmlformats-officedocument.spreadsheetml.worksheet+xml"/>
  <Override PartName="/xl/worksheets/sheet9.xml" ContentType="application/vnd.openxmlformats-officedocument.spreadsheetml.worksheet+xml"/>
  <Override PartName="/xl/worksheets/sheet5.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ME" sheetId="1" state="visible" r:id="rId3"/>
    <sheet name="Inventory" sheetId="2" state="visible" r:id="rId4"/>
    <sheet name="Brief_vs_Supplied" sheetId="3" state="visible" r:id="rId5"/>
    <sheet name="J1_Dataset_Profile" sheetId="4" state="visible" r:id="rId6"/>
    <sheet name="J1_Column_Profile" sheetId="5" state="visible" r:id="rId7"/>
    <sheet name="J1_Categories" sheetId="6" state="visible" r:id="rId8"/>
    <sheet name="J1_Numeric_Ranges" sheetId="7" state="visible" r:id="rId9"/>
    <sheet name="J1_Registrations_by_Month" sheetId="8" state="visible" r:id="rId10"/>
    <sheet name="J2_Relationship_Tests" sheetId="9" state="visible" r:id="rId11"/>
    <sheet name="J3_KPI_Test" sheetId="10" state="visible" r:id="rId12"/>
    <sheet name="Schema_Alignment" sheetId="11" state="visible" r:id="rId13"/>
    <sheet name="Missing_vs_Proposed" sheetId="12" state="visible" r:id="rId14"/>
    <sheet name="Summary_Check" sheetId="13" state="visible" r:id="rId15"/>
    <sheet name="Findings" sheetId="14" state="visible" r:id="rId16"/>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<sst xmlns="http://schemas.openxmlformats.org/spreadsheetml/2006/main" count="1699" uniqueCount="669">
  <si>
    <t xml:space="preserve">VELOOP REWARDS - Task 01 | Deliverable 12: Simulated Data Profiling (Work Package J)</t>
  </si>
  <si>
    <t xml:space="preserve">SIMULATED DATA - CREATED FOR ANALYTICAL TESTING. The profiled file is fictional. Every number in this workbook describes the supplied simulated dataset only and is not an actual VELOOP statistic.</t>
  </si>
  <si>
    <t xml:space="preserve">Source: 1791734466513_VELoop_Rewards_Data_01.xlsx (sheets: Users_1000_Clean, Users_Messy_Audit, Data_Dictionary, Synthetic_Summary, README_Data_Status).</t>
  </si>
  <si>
    <t xml:space="preserve">The file covers the Users entity only. Six of the eight datasets in the brief were not supplied (see Brief_vs_Supplied), so J2 relationship tests beyond Users and most J3 KPI tests are 'Not testable' or 'Not calculable', and this is stated rather than assumed.</t>
  </si>
  <si>
    <t xml:space="preserve">Privacy: the file contains personal-looking fields (name, email, age, gender, state, city). Their values are not reproduced here; only counts are shown.</t>
  </si>
  <si>
    <t xml:space="preserve">Simulated KPI test results appear only to prove calculability and are labelled as simulated.</t>
  </si>
  <si>
    <t xml:space="preserve">Live counts</t>
  </si>
  <si>
    <t xml:space="preserve">Dataset sheets inventoried</t>
  </si>
  <si>
    <t xml:space="preserve">KPIs tested</t>
  </si>
  <si>
    <t xml:space="preserve">Calculable</t>
  </si>
  <si>
    <t xml:space="preserve">Partly calculable</t>
  </si>
  <si>
    <t xml:space="preserve">Not calculable</t>
  </si>
  <si>
    <t xml:space="preserve">Relationship tests passed</t>
  </si>
  <si>
    <t xml:space="preserve">Relationship tests failed</t>
  </si>
  <si>
    <t xml:space="preserve">Relationship tests not testable</t>
  </si>
  <si>
    <t xml:space="preserve">Sheet in supplied file</t>
  </si>
  <si>
    <t xml:space="preserve">Rows</t>
  </si>
  <si>
    <t xml:space="preserve">Columns</t>
  </si>
  <si>
    <t xml:space="preserve">Role</t>
  </si>
  <si>
    <t xml:space="preserve">Users_1000_Clean</t>
  </si>
  <si>
    <t xml:space="preserve">Data</t>
  </si>
  <si>
    <t xml:space="preserve">Users_Messy_Audit</t>
  </si>
  <si>
    <t xml:space="preserve">Data (with injected problems)</t>
  </si>
  <si>
    <t xml:space="preserve">Data_Dictionary</t>
  </si>
  <si>
    <t xml:space="preserve">Reference</t>
  </si>
  <si>
    <t xml:space="preserve">Synthetic_Summary</t>
  </si>
  <si>
    <t xml:space="preserve">README_Data_Status</t>
  </si>
  <si>
    <t xml:space="preserve">Dataset expected by the brief</t>
  </si>
  <si>
    <t xml:space="preserve">Approx. records in the brief</t>
  </si>
  <si>
    <t xml:space="preserve">What the supplied file contains</t>
  </si>
  <si>
    <t xml:space="preserve">Result</t>
  </si>
  <si>
    <t xml:space="preserve">Users</t>
  </si>
  <si>
    <t xml:space="preserve">1,000</t>
  </si>
  <si>
    <t xml:space="preserve">Users_1000_Clean: 1,000 rows</t>
  </si>
  <si>
    <t xml:space="preserve">Found</t>
  </si>
  <si>
    <t xml:space="preserve">Task Activity</t>
  </si>
  <si>
    <t xml:space="preserve">6,000</t>
  </si>
  <si>
    <t xml:space="preserve">Not in the file</t>
  </si>
  <si>
    <t xml:space="preserve">Missing</t>
  </si>
  <si>
    <t xml:space="preserve">Rewards</t>
  </si>
  <si>
    <t xml:space="preserve">5,000</t>
  </si>
  <si>
    <t xml:space="preserve">Wallet</t>
  </si>
  <si>
    <t xml:space="preserve">3,500</t>
  </si>
  <si>
    <t xml:space="preserve">Withdrawals</t>
  </si>
  <si>
    <t xml:space="preserve">1,200</t>
  </si>
  <si>
    <t xml:space="preserve">Referrals</t>
  </si>
  <si>
    <t xml:space="preserve">900</t>
  </si>
  <si>
    <t xml:space="preserve">Feature Events</t>
  </si>
  <si>
    <t xml:space="preserve">12,000</t>
  </si>
  <si>
    <t xml:space="preserve">Messy Data</t>
  </si>
  <si>
    <t xml:space="preserve">500+</t>
  </si>
  <si>
    <t xml:space="preserve">Users_Messy_Audit: 1,008 rows (all users, with injected problems)</t>
  </si>
  <si>
    <t xml:space="preserve">Found, in a different form</t>
  </si>
  <si>
    <t xml:space="preserve">Dataset</t>
  </si>
  <si>
    <t xml:space="preserve">Records</t>
  </si>
  <si>
    <t xml:space="preserve">First Registration</t>
  </si>
  <si>
    <t xml:space="preserve">Last Registration</t>
  </si>
  <si>
    <t xml:space="preserve">First Login</t>
  </si>
  <si>
    <t xml:space="preserve">Last Login</t>
  </si>
  <si>
    <t xml:space="preserve">Unique user_id</t>
  </si>
  <si>
    <t xml:space="preserve">Duplicate rows</t>
  </si>
  <si>
    <t xml:space="preserve">Duplicate user_id</t>
  </si>
  <si>
    <t xml:space="preserve">Missing cells</t>
  </si>
  <si>
    <t xml:space="preserve">Unique emails</t>
  </si>
  <si>
    <t xml:space="preserve">Unique referral codes</t>
  </si>
  <si>
    <t xml:space="preserve">2026-04-01 02:10:00</t>
  </si>
  <si>
    <t xml:space="preserve">2026-09-15 19:47:00</t>
  </si>
  <si>
    <t xml:space="preserve">2026-04-15 02:51:00</t>
  </si>
  <si>
    <t xml:space="preserve">2026-09-17 10:08:00</t>
  </si>
  <si>
    <t xml:space="preserve">Field</t>
  </si>
  <si>
    <t xml:space="preserve">Kind</t>
  </si>
  <si>
    <t xml:space="preserve">Non-null</t>
  </si>
  <si>
    <t xml:space="preserve">Unique</t>
  </si>
  <si>
    <t xml:space="preserve">Min</t>
  </si>
  <si>
    <t xml:space="preserve">Max</t>
  </si>
  <si>
    <t xml:space="preserve">Mean</t>
  </si>
  <si>
    <t xml:space="preserve">Unparseable</t>
  </si>
  <si>
    <t xml:space="preserve">Most common value</t>
  </si>
  <si>
    <t xml:space="preserve">user_id</t>
  </si>
  <si>
    <t xml:space="preserve">identifier</t>
  </si>
  <si>
    <t xml:space="preserve">full_name</t>
  </si>
  <si>
    <t xml:space="preserve">text (personal-looking)</t>
  </si>
  <si>
    <t xml:space="preserve">not shown</t>
  </si>
  <si>
    <t xml:space="preserve">email</t>
  </si>
  <si>
    <t xml:space="preserve">age</t>
  </si>
  <si>
    <t xml:space="preserve">number</t>
  </si>
  <si>
    <t xml:space="preserve">gender</t>
  </si>
  <si>
    <t xml:space="preserve">category</t>
  </si>
  <si>
    <t xml:space="preserve">Male (343)</t>
  </si>
  <si>
    <t xml:space="preserve">state</t>
  </si>
  <si>
    <t xml:space="preserve">Kerala (129)</t>
  </si>
  <si>
    <t xml:space="preserve">city</t>
  </si>
  <si>
    <t xml:space="preserve">Kochi (129)</t>
  </si>
  <si>
    <t xml:space="preserve">registration_datetime</t>
  </si>
  <si>
    <t xml:space="preserve">datetime</t>
  </si>
  <si>
    <t xml:space="preserve">acquisition_source</t>
  </si>
  <si>
    <t xml:space="preserve">Organic Search (244)</t>
  </si>
  <si>
    <t xml:space="preserve">referral_source_detail</t>
  </si>
  <si>
    <t xml:space="preserve">Friend/Family (119)</t>
  </si>
  <si>
    <t xml:space="preserve">primary_device</t>
  </si>
  <si>
    <t xml:space="preserve">Android (659)</t>
  </si>
  <si>
    <t xml:space="preserve">platform</t>
  </si>
  <si>
    <t xml:space="preserve">Web (1000)</t>
  </si>
  <si>
    <t xml:space="preserve">account_status</t>
  </si>
  <si>
    <t xml:space="preserve">Active (568)</t>
  </si>
  <si>
    <t xml:space="preserve">email_verification_status</t>
  </si>
  <si>
    <t xml:space="preserve">Verified (855)</t>
  </si>
  <si>
    <t xml:space="preserve">onboarding_status</t>
  </si>
  <si>
    <t xml:space="preserve">Completed (722)</t>
  </si>
  <si>
    <t xml:space="preserve">last_login_datetime</t>
  </si>
  <si>
    <t xml:space="preserve">lifetime_sessions</t>
  </si>
  <si>
    <t xml:space="preserve">active_days</t>
  </si>
  <si>
    <t xml:space="preserve">xp_balance</t>
  </si>
  <si>
    <t xml:space="preserve">referral_code</t>
  </si>
  <si>
    <t xml:space="preserve">days_since_registration</t>
  </si>
  <si>
    <t xml:space="preserve">is_active_7d</t>
  </si>
  <si>
    <t xml:space="preserve">No (922)</t>
  </si>
  <si>
    <t xml:space="preserve">is_active_30d</t>
  </si>
  <si>
    <t xml:space="preserve">No (675)</t>
  </si>
  <si>
    <t xml:space="preserve">consent_status</t>
  </si>
  <si>
    <t xml:space="preserve">Accepted (923)</t>
  </si>
  <si>
    <t xml:space="preserve">marketing_opt_in</t>
  </si>
  <si>
    <t xml:space="preserve">No (558)</t>
  </si>
  <si>
    <t xml:space="preserve">account_created_via</t>
  </si>
  <si>
    <t xml:space="preserve">Web Registration (661)</t>
  </si>
  <si>
    <t xml:space="preserve">country</t>
  </si>
  <si>
    <t xml:space="preserve">India (1000)</t>
  </si>
  <si>
    <t xml:space="preserve">Male (345)</t>
  </si>
  <si>
    <t xml:space="preserve">Organic Search (245)</t>
  </si>
  <si>
    <t xml:space="preserve">Friend/Family (123)</t>
  </si>
  <si>
    <t xml:space="preserve">Android (662)</t>
  </si>
  <si>
    <t xml:space="preserve">Web (1008)</t>
  </si>
  <si>
    <t xml:space="preserve">Active (571)</t>
  </si>
  <si>
    <t xml:space="preserve">Verified (862)</t>
  </si>
  <si>
    <t xml:space="preserve">Completed (728)</t>
  </si>
  <si>
    <t xml:space="preserve">No (930)</t>
  </si>
  <si>
    <t xml:space="preserve">No (680)</t>
  </si>
  <si>
    <t xml:space="preserve">Accepted (930)</t>
  </si>
  <si>
    <t xml:space="preserve">No (563)</t>
  </si>
  <si>
    <t xml:space="preserve">Web Registration (666)</t>
  </si>
  <si>
    <t xml:space="preserve">India (1008)</t>
  </si>
  <si>
    <t xml:space="preserve">data_environment</t>
  </si>
  <si>
    <t xml:space="preserve">label</t>
  </si>
  <si>
    <t xml:space="preserve">SIMULATED — NOT ACTUAL VELOOP DATA</t>
  </si>
  <si>
    <t xml:space="preserve">Value</t>
  </si>
  <si>
    <t xml:space="preserve">Count</t>
  </si>
  <si>
    <t xml:space="preserve">Share %</t>
  </si>
  <si>
    <t xml:space="preserve">Male</t>
  </si>
  <si>
    <t xml:space="preserve">Female</t>
  </si>
  <si>
    <t xml:space="preserve">Prefer not to say</t>
  </si>
  <si>
    <t xml:space="preserve">Kerala</t>
  </si>
  <si>
    <t xml:space="preserve">Uttar Pradesh</t>
  </si>
  <si>
    <t xml:space="preserve">Bihar</t>
  </si>
  <si>
    <t xml:space="preserve">Odisha</t>
  </si>
  <si>
    <t xml:space="preserve">Maharashtra</t>
  </si>
  <si>
    <t xml:space="preserve">Karnataka</t>
  </si>
  <si>
    <t xml:space="preserve">Telangana</t>
  </si>
  <si>
    <t xml:space="preserve">West Bengal</t>
  </si>
  <si>
    <t xml:space="preserve">Gujarat</t>
  </si>
  <si>
    <t xml:space="preserve">Punjab</t>
  </si>
  <si>
    <t xml:space="preserve">Jharkhand</t>
  </si>
  <si>
    <t xml:space="preserve">Delhi</t>
  </si>
  <si>
    <t xml:space="preserve">Assam</t>
  </si>
  <si>
    <t xml:space="preserve">Tamil Nadu</t>
  </si>
  <si>
    <t xml:space="preserve">Haryana</t>
  </si>
  <si>
    <t xml:space="preserve">Madhya Pradesh</t>
  </si>
  <si>
    <t xml:space="preserve">Rajasthan</t>
  </si>
  <si>
    <t xml:space="preserve">Kochi</t>
  </si>
  <si>
    <t xml:space="preserve">Bhubaneswar</t>
  </si>
  <si>
    <t xml:space="preserve">Hyderabad</t>
  </si>
  <si>
    <t xml:space="preserve">Gaya</t>
  </si>
  <si>
    <t xml:space="preserve">Ludhiana</t>
  </si>
  <si>
    <t xml:space="preserve">Noida</t>
  </si>
  <si>
    <t xml:space="preserve">Patna</t>
  </si>
  <si>
    <t xml:space="preserve">Kanpur</t>
  </si>
  <si>
    <t xml:space="preserve">Lucknow</t>
  </si>
  <si>
    <t xml:space="preserve">New Delhi</t>
  </si>
  <si>
    <t xml:space="preserve">Guwahati</t>
  </si>
  <si>
    <t xml:space="preserve">Bengaluru</t>
  </si>
  <si>
    <t xml:space="preserve">Gurugram</t>
  </si>
  <si>
    <t xml:space="preserve">Durgapur</t>
  </si>
  <si>
    <t xml:space="preserve">Surat</t>
  </si>
  <si>
    <t xml:space="preserve">Mysuru</t>
  </si>
  <si>
    <t xml:space="preserve">Kolkata</t>
  </si>
  <si>
    <t xml:space="preserve">Nagpur</t>
  </si>
  <si>
    <t xml:space="preserve">Mumbai</t>
  </si>
  <si>
    <t xml:space="preserve">Pune</t>
  </si>
  <si>
    <t xml:space="preserve">Ahmedabad</t>
  </si>
  <si>
    <t xml:space="preserve">Chennai</t>
  </si>
  <si>
    <t xml:space="preserve">Jaipur</t>
  </si>
  <si>
    <t xml:space="preserve">Jamshedpur</t>
  </si>
  <si>
    <t xml:space="preserve">Coimbatore</t>
  </si>
  <si>
    <t xml:space="preserve">Ranchi</t>
  </si>
  <si>
    <t xml:space="preserve">Dhanbad</t>
  </si>
  <si>
    <t xml:space="preserve">Indore</t>
  </si>
  <si>
    <t xml:space="preserve">Bhopal</t>
  </si>
  <si>
    <t xml:space="preserve">Organic Search</t>
  </si>
  <si>
    <t xml:space="preserve">Direct</t>
  </si>
  <si>
    <t xml:space="preserve">Social Media</t>
  </si>
  <si>
    <t xml:space="preserve">Referral</t>
  </si>
  <si>
    <t xml:space="preserve">WhatsApp</t>
  </si>
  <si>
    <t xml:space="preserve">Other</t>
  </si>
  <si>
    <t xml:space="preserve">Telegram</t>
  </si>
  <si>
    <t xml:space="preserve">(missing)</t>
  </si>
  <si>
    <t xml:space="preserve">Friend/Family</t>
  </si>
  <si>
    <t xml:space="preserve">Android</t>
  </si>
  <si>
    <t xml:space="preserve">Windows</t>
  </si>
  <si>
    <t xml:space="preserve">iOS</t>
  </si>
  <si>
    <t xml:space="preserve">macOS</t>
  </si>
  <si>
    <t xml:space="preserve">Web</t>
  </si>
  <si>
    <t xml:space="preserve">Active</t>
  </si>
  <si>
    <t xml:space="preserve">Inactive</t>
  </si>
  <si>
    <t xml:space="preserve">Suspended</t>
  </si>
  <si>
    <t xml:space="preserve">Pending Verification</t>
  </si>
  <si>
    <t xml:space="preserve">Verified</t>
  </si>
  <si>
    <t xml:space="preserve">Pending</t>
  </si>
  <si>
    <t xml:space="preserve">Completed</t>
  </si>
  <si>
    <t xml:space="preserve">Started</t>
  </si>
  <si>
    <t xml:space="preserve">Not Started</t>
  </si>
  <si>
    <t xml:space="preserve">Accepted</t>
  </si>
  <si>
    <t xml:space="preserve">No</t>
  </si>
  <si>
    <t xml:space="preserve">Yes</t>
  </si>
  <si>
    <t xml:space="preserve">Web Registration</t>
  </si>
  <si>
    <t xml:space="preserve">Google Sign-In</t>
  </si>
  <si>
    <t xml:space="preserve">India</t>
  </si>
  <si>
    <t xml:space="preserve">P25</t>
  </si>
  <si>
    <t xml:space="preserve">Median</t>
  </si>
  <si>
    <t xml:space="preserve">P75</t>
  </si>
  <si>
    <t xml:space="preserve">Zeros</t>
  </si>
  <si>
    <t xml:space="preserve">Negatives</t>
  </si>
  <si>
    <t xml:space="preserve">Month</t>
  </si>
  <si>
    <t xml:space="preserve">Registrations (simulated)</t>
  </si>
  <si>
    <t xml:space="preserve">2026-04</t>
  </si>
  <si>
    <t xml:space="preserve">2026-05</t>
  </si>
  <si>
    <t xml:space="preserve">2026-06</t>
  </si>
  <si>
    <t xml:space="preserve">2026-07</t>
  </si>
  <si>
    <t xml:space="preserve">2026-08</t>
  </si>
  <si>
    <t xml:space="preserve">2026-09</t>
  </si>
  <si>
    <t xml:space="preserve">Test</t>
  </si>
  <si>
    <t xml:space="preserve">Relationship tested</t>
  </si>
  <si>
    <t xml:space="preserve">Detail</t>
  </si>
  <si>
    <t xml:space="preserve">J2-01</t>
  </si>
  <si>
    <t xml:space="preserve">Users_1000_Clean.user_id is unique</t>
  </si>
  <si>
    <t xml:space="preserve">Pass</t>
  </si>
  <si>
    <t xml:space="preserve">0 duplicate user_id values in 1,000 rows</t>
  </si>
  <si>
    <t xml:space="preserve">J2-02</t>
  </si>
  <si>
    <t xml:space="preserve">Users_Messy_Audit.user_id is unique</t>
  </si>
  <si>
    <t xml:space="preserve">Fail</t>
  </si>
  <si>
    <t xml:space="preserve">8 user_id values repeat (8 ids appear twice)</t>
  </si>
  <si>
    <t xml:space="preserve">J2-03</t>
  </si>
  <si>
    <t xml:space="preserve">Every Users_Messy_Audit user_id exists in Users_1000_Clean (orphan check)</t>
  </si>
  <si>
    <t xml:space="preserve">0 orphan rows; all 1000 distinct messy ids are in the clean sheet</t>
  </si>
  <si>
    <t xml:space="preserve">J2-04</t>
  </si>
  <si>
    <t xml:space="preserve">Every Users_1000_Clean user_id exists in Users_Messy_Audit</t>
  </si>
  <si>
    <t xml:space="preserve">0 clean ids missing from the messy sheet</t>
  </si>
  <si>
    <t xml:space="preserve">J2-05</t>
  </si>
  <si>
    <t xml:space="preserve">referral_code is unique per user in Users_1000_Clean</t>
  </si>
  <si>
    <t xml:space="preserve">0 duplicate codes</t>
  </si>
  <si>
    <t xml:space="preserve">J2-06</t>
  </si>
  <si>
    <t xml:space="preserve">email is unique per user in Users_1000_Clean</t>
  </si>
  <si>
    <t xml:space="preserve">0 duplicate values (values not shown)</t>
  </si>
  <si>
    <t xml:space="preserve">J2-07</t>
  </si>
  <si>
    <t xml:space="preserve">Each city belongs to one state (Users_1000_Clean)</t>
  </si>
  <si>
    <t xml:space="preserve">29 cities; 0 map to more than one state</t>
  </si>
  <si>
    <t xml:space="preserve">J2-08</t>
  </si>
  <si>
    <t xml:space="preserve">referral_source_detail is filled exactly for users acquired by Referral</t>
  </si>
  <si>
    <t xml:space="preserve">119 Referral users, 119 with a detail value</t>
  </si>
  <si>
    <t xml:space="preserve">J2-09</t>
  </si>
  <si>
    <t xml:space="preserve">A referred user can be linked to the user who referred them</t>
  </si>
  <si>
    <t xml:space="preserve">referral_source_detail holds only 'Friend/Family'. There is no referrer user_id or referral_code_used, so a referral link cannot be built</t>
  </si>
  <si>
    <t xml:space="preserve">J2-10</t>
  </si>
  <si>
    <t xml:space="preserve">Users.user_id connects to Task Activity.user_id</t>
  </si>
  <si>
    <t xml:space="preserve">Not testable</t>
  </si>
  <si>
    <t xml:space="preserve">The Task Activity sheet was not supplied</t>
  </si>
  <si>
    <t xml:space="preserve">J2-11</t>
  </si>
  <si>
    <t xml:space="preserve">Users.user_id connects to Rewards.user_id</t>
  </si>
  <si>
    <t xml:space="preserve">The Rewards sheet was not supplied</t>
  </si>
  <si>
    <t xml:space="preserve">J2-12</t>
  </si>
  <si>
    <t xml:space="preserve">Users.user_id connects to Wallet.user_id</t>
  </si>
  <si>
    <t xml:space="preserve">The Wallet sheet was not supplied</t>
  </si>
  <si>
    <t xml:space="preserve">J2-13</t>
  </si>
  <si>
    <t xml:space="preserve">Users.user_id connects to Withdrawals.user_id</t>
  </si>
  <si>
    <t xml:space="preserve">The Withdrawals sheet was not supplied</t>
  </si>
  <si>
    <t xml:space="preserve">J2-14</t>
  </si>
  <si>
    <t xml:space="preserve">Users.user_id connects to Referrals.user_id</t>
  </si>
  <si>
    <t xml:space="preserve">The Referrals sheet was not supplied</t>
  </si>
  <si>
    <t xml:space="preserve">J2-15</t>
  </si>
  <si>
    <t xml:space="preserve">Users.user_id connects to Feature Events.user_id</t>
  </si>
  <si>
    <t xml:space="preserve">The Feature Events sheet was not supplied</t>
  </si>
  <si>
    <t xml:space="preserve">KPI ID</t>
  </si>
  <si>
    <t xml:space="preserve">Area</t>
  </si>
  <si>
    <t xml:space="preserve">KPI</t>
  </si>
  <si>
    <t xml:space="preserve">Required fields (KPI Catalogue)</t>
  </si>
  <si>
    <t xml:space="preserve">Available in supplied file as</t>
  </si>
  <si>
    <t xml:space="preserve">Missing fields</t>
  </si>
  <si>
    <t xml:space="preserve">Verdict</t>
  </si>
  <si>
    <t xml:space="preserve">Why</t>
  </si>
  <si>
    <t xml:space="preserve">Additional data required</t>
  </si>
  <si>
    <t xml:space="preserve">Simulated test result (not a VELOOP result)</t>
  </si>
  <si>
    <t xml:space="preserve">U01</t>
  </si>
  <si>
    <t xml:space="preserve">User</t>
  </si>
  <si>
    <t xml:space="preserve">Registrations</t>
  </si>
  <si>
    <t xml:space="preserve">user_id, registered_at</t>
  </si>
  <si>
    <t xml:space="preserve">user_id; registration_datetime</t>
  </si>
  <si>
    <t xml:space="preserve">none</t>
  </si>
  <si>
    <t xml:space="preserve">All required fields exist in the supplied data.</t>
  </si>
  <si>
    <t xml:space="preserve">-</t>
  </si>
  <si>
    <t xml:space="preserve">Registrations per month: 2026-04: 174, 2026-05: 179, 2026-06: 166, 2026-07: 198, 2026-08: 192, 2026-09: 91</t>
  </si>
  <si>
    <t xml:space="preserve">U02</t>
  </si>
  <si>
    <t xml:space="preserve">Daily Active Users (DAU)</t>
  </si>
  <si>
    <t xml:space="preserve">user_id, event_name, event_timestamp</t>
  </si>
  <si>
    <t xml:space="preserve">event_name, event_timestamp</t>
  </si>
  <si>
    <t xml:space="preserve">Needs data that is not in the supplied file: Event-level activity with timestamps (qualifying events per user per day).</t>
  </si>
  <si>
    <t xml:space="preserve">Event-level activity with timestamps (qualifying events per user per day)</t>
  </si>
  <si>
    <t xml:space="preserve">U03</t>
  </si>
  <si>
    <t xml:space="preserve">Weekly Active Users (WAU)</t>
  </si>
  <si>
    <t xml:space="preserve">Snapshot count from is_active_7d (users whose last login is within 7 days of the reference time). It measures logins, not qualifying activity, and gives one value, not a time series.</t>
  </si>
  <si>
    <t xml:space="preserve">Event-level activity to compute a weekly series</t>
  </si>
  <si>
    <t xml:space="preserve">78 users flagged</t>
  </si>
  <si>
    <t xml:space="preserve">U04</t>
  </si>
  <si>
    <t xml:space="preserve">Monthly Active Users (MAU)</t>
  </si>
  <si>
    <t xml:space="preserve">Snapshot count from is_active_30d (login within 30 days of the reference time). Logins, not qualifying activity; one value, not a trend.</t>
  </si>
  <si>
    <t xml:space="preserve">Event-level activity to compute a monthly series</t>
  </si>
  <si>
    <t xml:space="preserve">325 users flagged</t>
  </si>
  <si>
    <t xml:space="preserve">U05</t>
  </si>
  <si>
    <t xml:space="preserve">Returning Users</t>
  </si>
  <si>
    <t xml:space="preserve">user_id, first_activity_at, event_timestamp</t>
  </si>
  <si>
    <t xml:space="preserve">first_activity_at, event_timestamp</t>
  </si>
  <si>
    <t xml:space="preserve">Needs data that is not in the supplied file: Event-level activity plus first_activity_at.</t>
  </si>
  <si>
    <t xml:space="preserve">Event-level activity plus first_activity_at</t>
  </si>
  <si>
    <t xml:space="preserve">U06</t>
  </si>
  <si>
    <t xml:space="preserve">Inactive Users</t>
  </si>
  <si>
    <t xml:space="preserve">user_id, account_status, last_activity_at</t>
  </si>
  <si>
    <t xml:space="preserve">user_id; account_status</t>
  </si>
  <si>
    <t xml:space="preserve">last_activity_at</t>
  </si>
  <si>
    <t xml:space="preserve">Snapshot using last_login_datetime and the 30-day flag; 'Inactive' as an account_status is not the same thing. The window is not agreed (A024).</t>
  </si>
  <si>
    <t xml:space="preserve">last_activity_at from events and an agreed inactivity window</t>
  </si>
  <si>
    <t xml:space="preserve">675 users with no login in 30 days (includes 72 who never logged in)</t>
  </si>
  <si>
    <t xml:space="preserve">U07</t>
  </si>
  <si>
    <t xml:space="preserve">Onboarding Completion Rate</t>
  </si>
  <si>
    <t xml:space="preserve">user_id, onboarding_status, onboarding_started_at, onboarding_completed_at</t>
  </si>
  <si>
    <t xml:space="preserve">user_id; onboarding_status</t>
  </si>
  <si>
    <t xml:space="preserve">onboarding_started_at, onboarding_completed_at</t>
  </si>
  <si>
    <t xml:space="preserve">Snapshot share with onboarding_status = Completed. There are no start or completion times and no steps, so it is not a funnel.</t>
  </si>
  <si>
    <t xml:space="preserve">onboarding_started_at, onboarding_completed_at and onboarding_step</t>
  </si>
  <si>
    <t xml:space="preserve">72.2% of users have onboarding Completed</t>
  </si>
  <si>
    <t xml:space="preserve">U08</t>
  </si>
  <si>
    <t xml:space="preserve">Cohort Retention (Day N)</t>
  </si>
  <si>
    <t xml:space="preserve">user_id, registered_at, event_timestamp</t>
  </si>
  <si>
    <t xml:space="preserve">event_timestamp</t>
  </si>
  <si>
    <t xml:space="preserve">Needs data that is not in the supplied file: Daily activity per user after registration.</t>
  </si>
  <si>
    <t xml:space="preserve">Daily activity per user after registration</t>
  </si>
  <si>
    <t xml:space="preserve">U09</t>
  </si>
  <si>
    <t xml:space="preserve">Account Status Mix</t>
  </si>
  <si>
    <t xml:space="preserve">user_id, account_status</t>
  </si>
  <si>
    <t xml:space="preserve">Account status counts: Active: 568, Inactive: 283, Suspended: 77, Pending Verification: 72</t>
  </si>
  <si>
    <t xml:space="preserve">U10</t>
  </si>
  <si>
    <t xml:space="preserve">Daily Visitors</t>
  </si>
  <si>
    <t xml:space="preserve">Needs data that is not in the supplied file: Login events with timestamps (one per login).</t>
  </si>
  <si>
    <t xml:space="preserve">Login events with timestamps (one per login)</t>
  </si>
  <si>
    <t xml:space="preserve">E01</t>
  </si>
  <si>
    <t xml:space="preserve">Engagement</t>
  </si>
  <si>
    <t xml:space="preserve">Feature Usage</t>
  </si>
  <si>
    <t xml:space="preserve">user_id, feature, event_name</t>
  </si>
  <si>
    <t xml:space="preserve">feature, event_name</t>
  </si>
  <si>
    <t xml:space="preserve">Needs data that is not in the supplied file: Task Activity and Feature Events tables.</t>
  </si>
  <si>
    <t xml:space="preserve">Task Activity and Feature Events tables</t>
  </si>
  <si>
    <t xml:space="preserve">E02</t>
  </si>
  <si>
    <t xml:space="preserve">Feature Adoption Rate</t>
  </si>
  <si>
    <t xml:space="preserve">E03</t>
  </si>
  <si>
    <t xml:space="preserve">Task Starts</t>
  </si>
  <si>
    <t xml:space="preserve">task_activity_id, started_at</t>
  </si>
  <si>
    <t xml:space="preserve">E04</t>
  </si>
  <si>
    <t xml:space="preserve">Task Completions</t>
  </si>
  <si>
    <t xml:space="preserve">task_activity_id, completed_at, status</t>
  </si>
  <si>
    <t xml:space="preserve">E05</t>
  </si>
  <si>
    <t xml:space="preserve">Task Completion Rate</t>
  </si>
  <si>
    <t xml:space="preserve">task_activity_id, started_at, status</t>
  </si>
  <si>
    <t xml:space="preserve">E06</t>
  </si>
  <si>
    <t xml:space="preserve">Task Failure Mix</t>
  </si>
  <si>
    <t xml:space="preserve">task_activity_id, status, failure_category</t>
  </si>
  <si>
    <t xml:space="preserve">E07</t>
  </si>
  <si>
    <t xml:space="preserve">Repeat Usage Rate</t>
  </si>
  <si>
    <t xml:space="preserve">user_id, feature, event date</t>
  </si>
  <si>
    <t xml:space="preserve">feature, event date</t>
  </si>
  <si>
    <t xml:space="preserve">E08</t>
  </si>
  <si>
    <t xml:space="preserve">Mission Completion Rate</t>
  </si>
  <si>
    <t xml:space="preserve">user_id, mission_id, event_name</t>
  </si>
  <si>
    <t xml:space="preserve">mission_id, event_name</t>
  </si>
  <si>
    <t xml:space="preserve">E09</t>
  </si>
  <si>
    <t xml:space="preserve">Streak Length</t>
  </si>
  <si>
    <t xml:space="preserve">user_id, streak_count, change_type</t>
  </si>
  <si>
    <t xml:space="preserve">streak_count, change_type</t>
  </si>
  <si>
    <t xml:space="preserve">E10</t>
  </si>
  <si>
    <t xml:space="preserve">Task Open Rate</t>
  </si>
  <si>
    <t xml:space="preserve">user_id, task_id, event_name</t>
  </si>
  <si>
    <t xml:space="preserve">task_id, event_name</t>
  </si>
  <si>
    <t xml:space="preserve">R01</t>
  </si>
  <si>
    <t xml:space="preserve">Reward</t>
  </si>
  <si>
    <t xml:space="preserve">Reward Transactions</t>
  </si>
  <si>
    <t xml:space="preserve">reward_id, event_name</t>
  </si>
  <si>
    <t xml:space="preserve">Needs data that is not in the supplied file: Rewards table (reward records with amount, unit, status).</t>
  </si>
  <si>
    <t xml:space="preserve">Rewards table (reward records with amount, unit, status)</t>
  </si>
  <si>
    <t xml:space="preserve">R02</t>
  </si>
  <si>
    <t xml:space="preserve">Reward Credits</t>
  </si>
  <si>
    <t xml:space="preserve">reward_id, reward_amount, reward_unit, credited_at</t>
  </si>
  <si>
    <t xml:space="preserve">R03</t>
  </si>
  <si>
    <t xml:space="preserve">Reward Reversals</t>
  </si>
  <si>
    <t xml:space="preserve">reward_id, reversed_at, reason_category</t>
  </si>
  <si>
    <t xml:space="preserve">R04</t>
  </si>
  <si>
    <t xml:space="preserve">Reward Reversal Rate</t>
  </si>
  <si>
    <t xml:space="preserve">reward_id, credited_at, reward_status</t>
  </si>
  <si>
    <t xml:space="preserve">R05</t>
  </si>
  <si>
    <t xml:space="preserve">Reward Activity by Feature</t>
  </si>
  <si>
    <t xml:space="preserve">source_feature, reward_amount, reward_unit</t>
  </si>
  <si>
    <t xml:space="preserve">R06</t>
  </si>
  <si>
    <t xml:space="preserve">Pending Rewards</t>
  </si>
  <si>
    <t xml:space="preserve">reward_id, reward_status, created_at</t>
  </si>
  <si>
    <t xml:space="preserve">R07</t>
  </si>
  <si>
    <t xml:space="preserve">Net Reward Amount</t>
  </si>
  <si>
    <t xml:space="preserve">reward_amount, reward_unit, old_amount, new_amount</t>
  </si>
  <si>
    <t xml:space="preserve">W01</t>
  </si>
  <si>
    <t xml:space="preserve">Wallet Transactions</t>
  </si>
  <si>
    <t xml:space="preserve">transaction_id, transaction_type, status, completed_at</t>
  </si>
  <si>
    <t xml:space="preserve">Needs data that is not in the supplied file: Wallet_Transactions table.</t>
  </si>
  <si>
    <t xml:space="preserve">Wallet_Transactions table</t>
  </si>
  <si>
    <t xml:space="preserve">W02</t>
  </si>
  <si>
    <t xml:space="preserve">Credit Volume</t>
  </si>
  <si>
    <t xml:space="preserve">amount, unit, direction, status</t>
  </si>
  <si>
    <t xml:space="preserve">W03</t>
  </si>
  <si>
    <t xml:space="preserve">Redemption Activity</t>
  </si>
  <si>
    <t xml:space="preserve">transaction_type, amount, unit</t>
  </si>
  <si>
    <t xml:space="preserve">W04</t>
  </si>
  <si>
    <t xml:space="preserve">Wallet Reversals</t>
  </si>
  <si>
    <t xml:space="preserve">transaction_type, related_transaction_id</t>
  </si>
  <si>
    <t xml:space="preserve">W05</t>
  </si>
  <si>
    <t xml:space="preserve">Exchange Activity</t>
  </si>
  <si>
    <t xml:space="preserve">exchange_group_id, from_unit, to_unit, from_amount, to_amount</t>
  </si>
  <si>
    <t xml:space="preserve">D01</t>
  </si>
  <si>
    <t xml:space="preserve">Withdrawal</t>
  </si>
  <si>
    <t xml:space="preserve">Withdrawal Requests</t>
  </si>
  <si>
    <t xml:space="preserve">withdrawal_id, requested_at</t>
  </si>
  <si>
    <t xml:space="preserve">Needs data that is not in the supplied file: Withdrawals table with state timestamps.</t>
  </si>
  <si>
    <t xml:space="preserve">Withdrawals table with state timestamps</t>
  </si>
  <si>
    <t xml:space="preserve">D02</t>
  </si>
  <si>
    <t xml:space="preserve">Completed Withdrawals</t>
  </si>
  <si>
    <t xml:space="preserve">withdrawal_id, status, final_at</t>
  </si>
  <si>
    <t xml:space="preserve">D03</t>
  </si>
  <si>
    <t xml:space="preserve">Pending Withdrawals</t>
  </si>
  <si>
    <t xml:space="preserve">withdrawal_id, status</t>
  </si>
  <si>
    <t xml:space="preserve">D04</t>
  </si>
  <si>
    <t xml:space="preserve">Rejected Withdrawals</t>
  </si>
  <si>
    <t xml:space="preserve">withdrawal_id, status, final_at, reason_category</t>
  </si>
  <si>
    <t xml:space="preserve">D05</t>
  </si>
  <si>
    <t xml:space="preserve">Reversed Withdrawals</t>
  </si>
  <si>
    <t xml:space="preserve">withdrawal_id, status, reversed_at, reason_category</t>
  </si>
  <si>
    <t xml:space="preserve">D06</t>
  </si>
  <si>
    <t xml:space="preserve">Processing Time</t>
  </si>
  <si>
    <t xml:space="preserve">requested_at, final_at, status</t>
  </si>
  <si>
    <t xml:space="preserve">D07</t>
  </si>
  <si>
    <t xml:space="preserve">Withdrawal Completion Rate</t>
  </si>
  <si>
    <t xml:space="preserve">withdrawal_id, requested_at, status</t>
  </si>
  <si>
    <t xml:space="preserve">D08</t>
  </si>
  <si>
    <t xml:space="preserve">Pending Queue Age</t>
  </si>
  <si>
    <t xml:space="preserve">D09</t>
  </si>
  <si>
    <t xml:space="preserve">Withdrawal Volume</t>
  </si>
  <si>
    <t xml:space="preserve">requested_amount, completed_amount, requested_unit</t>
  </si>
  <si>
    <t xml:space="preserve">D10</t>
  </si>
  <si>
    <t xml:space="preserve">Withdrawal Method Distribution</t>
  </si>
  <si>
    <t xml:space="preserve">method, withdrawal_id, status</t>
  </si>
  <si>
    <t xml:space="preserve">F01</t>
  </si>
  <si>
    <t xml:space="preserve">Referrals Created</t>
  </si>
  <si>
    <t xml:space="preserve">referral_id, created_at</t>
  </si>
  <si>
    <t xml:space="preserve">Needs data that is not in the supplied file: Referrals table.</t>
  </si>
  <si>
    <t xml:space="preserve">Referrals table</t>
  </si>
  <si>
    <t xml:space="preserve">F02</t>
  </si>
  <si>
    <t xml:space="preserve">Referral Registrations</t>
  </si>
  <si>
    <t xml:space="preserve">referral_id, registered_at</t>
  </si>
  <si>
    <t xml:space="preserve">referral_id</t>
  </si>
  <si>
    <t xml:space="preserve">Count of users whose acquisition_source is Referral. There is no referral_id, referrer or timestamp, so referral registrations cannot be linked to referrals.</t>
  </si>
  <si>
    <t xml:space="preserve">Referrals table: referral_id, referring and referred user, timestamps</t>
  </si>
  <si>
    <t xml:space="preserve">119 users acquired by referral</t>
  </si>
  <si>
    <t xml:space="preserve">F03</t>
  </si>
  <si>
    <t xml:space="preserve">Referral Activations</t>
  </si>
  <si>
    <t xml:space="preserve">referral_id, activated_at</t>
  </si>
  <si>
    <t xml:space="preserve">F04</t>
  </si>
  <si>
    <t xml:space="preserve">Referral Conversions</t>
  </si>
  <si>
    <t xml:space="preserve">referral_id, converted_at</t>
  </si>
  <si>
    <t xml:space="preserve">F05</t>
  </si>
  <si>
    <t xml:space="preserve">Referral Activation Rate</t>
  </si>
  <si>
    <t xml:space="preserve">referral_id, registered_at, activated_at</t>
  </si>
  <si>
    <t xml:space="preserve">F06</t>
  </si>
  <si>
    <t xml:space="preserve">Referral Conversion Rate</t>
  </si>
  <si>
    <t xml:space="preserve">referral_id, created_at, converted_at</t>
  </si>
  <si>
    <t xml:space="preserve">S01</t>
  </si>
  <si>
    <t xml:space="preserve">Support / Content</t>
  </si>
  <si>
    <t xml:space="preserve">Support Requests</t>
  </si>
  <si>
    <t xml:space="preserve">ticket_id, created_at</t>
  </si>
  <si>
    <t xml:space="preserve">Needs data that is not in the supplied file: Support_Tickets table and Help Center events.</t>
  </si>
  <si>
    <t xml:space="preserve">Support_Tickets table and Help Center events</t>
  </si>
  <si>
    <t xml:space="preserve">S02</t>
  </si>
  <si>
    <t xml:space="preserve">Issue Category Mix</t>
  </si>
  <si>
    <t xml:space="preserve">ticket_id, issue_category</t>
  </si>
  <si>
    <t xml:space="preserve">S03</t>
  </si>
  <si>
    <t xml:space="preserve">Help-Center Engagement</t>
  </si>
  <si>
    <t xml:space="preserve">user_id, feature_name, event_name</t>
  </si>
  <si>
    <t xml:space="preserve">feature_name, event_name</t>
  </si>
  <si>
    <t xml:space="preserve">T01</t>
  </si>
  <si>
    <t xml:space="preserve">Data Trust</t>
  </si>
  <si>
    <t xml:space="preserve">Wallet Reconciliation Exceptions</t>
  </si>
  <si>
    <t xml:space="preserve">user_id, unit, amount, direction, status, balance_after</t>
  </si>
  <si>
    <t xml:space="preserve">unit, amount, direction, status, balance_after</t>
  </si>
  <si>
    <t xml:space="preserve">Needs data that is not in the supplied file: Wallet, provider callback or event receive-time data.</t>
  </si>
  <si>
    <t xml:space="preserve">Wallet, provider callback or event receive-time data</t>
  </si>
  <si>
    <t xml:space="preserve">T02</t>
  </si>
  <si>
    <t xml:space="preserve">Provider Callback Reliability</t>
  </si>
  <si>
    <t xml:space="preserve">task_activity_id, provider_reference_id, callback_received_at</t>
  </si>
  <si>
    <t xml:space="preserve">T03</t>
  </si>
  <si>
    <t xml:space="preserve">Event Delivery Delay</t>
  </si>
  <si>
    <t xml:space="preserve">event_timestamp, received_timestamp</t>
  </si>
  <si>
    <t xml:space="preserve">Dataset field</t>
  </si>
  <si>
    <t xml:space="preserve">Proposed dictionary field</t>
  </si>
  <si>
    <t xml:space="preserve">Match</t>
  </si>
  <si>
    <t xml:space="preserve">Dataset values / notes</t>
  </si>
  <si>
    <t xml:space="preserve">Recommendation</t>
  </si>
  <si>
    <t xml:space="preserve">Users.user_id</t>
  </si>
  <si>
    <t xml:space="preserve">Same meaning</t>
  </si>
  <si>
    <t xml:space="preserve">String; format VLUSR + 6 digits; unique in the clean sheet</t>
  </si>
  <si>
    <t xml:space="preserve">Matches our requirement for a stable, opaque ID. Keep.</t>
  </si>
  <si>
    <t xml:space="preserve">(not in dictionary)</t>
  </si>
  <si>
    <t xml:space="preserve">Not in our dictionary</t>
  </si>
  <si>
    <t xml:space="preserve">Personal-looking</t>
  </si>
  <si>
    <t xml:space="preserve">Excluded by design (Work Package B). Do not carry into analytics.</t>
  </si>
  <si>
    <t xml:space="preserve">Excluded by design. Use email_verification_status instead where verification matters.</t>
  </si>
  <si>
    <t xml:space="preserve">Integer 18 to 38</t>
  </si>
  <si>
    <t xml:space="preserve">Not needed for any KPI. Add only if a need is shown (A048).</t>
  </si>
  <si>
    <t xml:space="preserve">Male, Female, Prefer not to say</t>
  </si>
  <si>
    <t xml:space="preserve">Not needed for any KPI (A048).</t>
  </si>
  <si>
    <t xml:space="preserve">17 states</t>
  </si>
  <si>
    <t xml:space="preserve">We proposed country level only. State is finer than needed (A048).</t>
  </si>
  <si>
    <t xml:space="preserve">29 cities, each in one state</t>
  </si>
  <si>
    <t xml:space="preserve">Finer than needed (A048).</t>
  </si>
  <si>
    <t xml:space="preserve">Users.registered_at</t>
  </si>
  <si>
    <t xml:space="preserve">Renamed</t>
  </si>
  <si>
    <t xml:space="preserve">Datetime, no timezone</t>
  </si>
  <si>
    <t xml:space="preserve">Rename; store in UTC with a timezone (A012).</t>
  </si>
  <si>
    <t xml:space="preserve">Users.registration_source</t>
  </si>
  <si>
    <t xml:space="preserve">Renamed; values differ</t>
  </si>
  <si>
    <t xml:space="preserve">Organic Search, Direct, Social Media, Referral, WhatsApp, Other, Telegram</t>
  </si>
  <si>
    <t xml:space="preserve">Adopt these as the first approved list, then confirm (A022).</t>
  </si>
  <si>
    <t xml:space="preserve">Friend/Family, only for Referral users</t>
  </si>
  <si>
    <t xml:space="preserve">No referrer link. We need referral_code_used and a Referrals table to measure conversion.</t>
  </si>
  <si>
    <t xml:space="preserve">New field</t>
  </si>
  <si>
    <t xml:space="preserve">Android, iOS, Windows, macOS</t>
  </si>
  <si>
    <t xml:space="preserve">Useful device attribute; our platform field (android, ios, web) is different. Keep both.</t>
  </si>
  <si>
    <t xml:space="preserve">Users.platform</t>
  </si>
  <si>
    <t xml:space="preserve">Same name; different values</t>
  </si>
  <si>
    <t xml:space="preserve">Always 'Web'</t>
  </si>
  <si>
    <t xml:space="preserve">Our values are android, ios, web. Clarify whether this is the channel or the device.</t>
  </si>
  <si>
    <t xml:space="preserve">Users.account_status</t>
  </si>
  <si>
    <t xml:space="preserve">Same name; values differ</t>
  </si>
  <si>
    <t xml:space="preserve">Active, Inactive, Suspended, Pending Verification</t>
  </si>
  <si>
    <t xml:space="preserve">Ours: active, restricted, closed. Add 'pending_verification'. 'Inactive' clashes with the derived inactive concept (A047).</t>
  </si>
  <si>
    <t xml:space="preserve">Verified, Pending</t>
  </si>
  <si>
    <t xml:space="preserve">Useful for onboarding analysis. Propose adding to Users.</t>
  </si>
  <si>
    <t xml:space="preserve">Users.onboarding_status</t>
  </si>
  <si>
    <t xml:space="preserve">Completed, Started, Not Started</t>
  </si>
  <si>
    <t xml:space="preserve">Ours: not_started, in_progress, completed, skipped. Align names (A019).</t>
  </si>
  <si>
    <t xml:space="preserve">Users.last_login_at</t>
  </si>
  <si>
    <t xml:space="preserve">Datetime; empty for Pending Verification</t>
  </si>
  <si>
    <t xml:space="preserve">Rename. A latest-login field exists but not event-level logins.</t>
  </si>
  <si>
    <t xml:space="preserve">Integer 0 to 81</t>
  </si>
  <si>
    <t xml:space="preserve">A counter. Better derived from events than stored.</t>
  </si>
  <si>
    <t xml:space="preserve">Integer 0 to 32</t>
  </si>
  <si>
    <t xml:space="preserve">Integer 5 to 1,156</t>
  </si>
  <si>
    <t xml:space="preserve">A balance, not transactions. XP activity needs a transactions table.</t>
  </si>
  <si>
    <t xml:space="preserve">VL + 6 digits; unique</t>
  </si>
  <si>
    <t xml:space="preserve">The user's own code. We also need referral_code_used to link a referred user.</t>
  </si>
  <si>
    <t xml:space="preserve">(derived)</t>
  </si>
  <si>
    <t xml:space="preserve">Derived field stored</t>
  </si>
  <si>
    <t xml:space="preserve">Decimal; 4 negative values</t>
  </si>
  <si>
    <t xml:space="preserve">Do not store; compute in the analytics layer.</t>
  </si>
  <si>
    <t xml:space="preserve">Yes or No</t>
  </si>
  <si>
    <t xml:space="preserve">Do not store; derive lifecycle and activity from events.</t>
  </si>
  <si>
    <t xml:space="preserve">Do not store; derive from events.</t>
  </si>
  <si>
    <t xml:space="preserve">Accepted, Pending</t>
  </si>
  <si>
    <t xml:space="preserve">Important for governance; consider adding (A048).</t>
  </si>
  <si>
    <t xml:space="preserve">Yes, No</t>
  </si>
  <si>
    <t xml:space="preserve">Consider adding, with a consent consistency rule (DQ042).</t>
  </si>
  <si>
    <t xml:space="preserve">Users.registration_method</t>
  </si>
  <si>
    <t xml:space="preserve">Web Registration, Google Sign-In</t>
  </si>
  <si>
    <t xml:space="preserve">Rename; category only, which matches our design.</t>
  </si>
  <si>
    <t xml:space="preserve">Users.country_code</t>
  </si>
  <si>
    <t xml:space="preserve">Always India</t>
  </si>
  <si>
    <t xml:space="preserve">Rename to an ISO country code (IN).</t>
  </si>
  <si>
    <t xml:space="preserve">New field (messy sheet only)</t>
  </si>
  <si>
    <t xml:space="preserve">'SIMULATED — NOT ACTUAL VELOOP DATA' on every row</t>
  </si>
  <si>
    <t xml:space="preserve">A good per-row label. Recommend the clean sheet carries it too (DQ039).</t>
  </si>
  <si>
    <t xml:space="preserve">Proposed field or table</t>
  </si>
  <si>
    <t xml:space="preserve">Entity</t>
  </si>
  <si>
    <t xml:space="preserve">Status in supplied file</t>
  </si>
  <si>
    <t xml:space="preserve">app_version</t>
  </si>
  <si>
    <t xml:space="preserve">Not supplied</t>
  </si>
  <si>
    <t xml:space="preserve">language_code</t>
  </si>
  <si>
    <t xml:space="preserve">referral_code_used</t>
  </si>
  <si>
    <t xml:space="preserve">Not supplied; needed to link a referred user to a referral</t>
  </si>
  <si>
    <t xml:space="preserve">campaign_id</t>
  </si>
  <si>
    <t xml:space="preserve">onboarding_started_at / onboarding_completed_at</t>
  </si>
  <si>
    <t xml:space="preserve">Not supplied; needed for a funnel</t>
  </si>
  <si>
    <t xml:space="preserve">first_activity_at / first_reward_credited_at / last_activity_at</t>
  </si>
  <si>
    <t xml:space="preserve">Not supplied; derived from events</t>
  </si>
  <si>
    <t xml:space="preserve">status_changed_at / account_closed_at</t>
  </si>
  <si>
    <t xml:space="preserve">Not supplied; no status history</t>
  </si>
  <si>
    <t xml:space="preserve">Task, reward, wallet, withdrawal, referral, event and support tables</t>
  </si>
  <si>
    <t xml:space="preserve">All other entities</t>
  </si>
  <si>
    <t xml:space="preserve">Metric in the dataset's Synthetic_Summary</t>
  </si>
  <si>
    <t xml:space="preserve">Value stated</t>
  </si>
  <si>
    <t xml:space="preserve">Recomputed from clean sheet</t>
  </si>
  <si>
    <t xml:space="preserve">Active 7d</t>
  </si>
  <si>
    <t xml:space="preserve">Active 30d</t>
  </si>
  <si>
    <t xml:space="preserve">Verified email</t>
  </si>
  <si>
    <t xml:space="preserve">Onboarding completed</t>
  </si>
  <si>
    <t xml:space="preserve">Referral acquisition</t>
  </si>
  <si>
    <t xml:space="preserve">ID</t>
  </si>
  <si>
    <t xml:space="preserve">Finding</t>
  </si>
  <si>
    <t xml:space="preserve">Evidence</t>
  </si>
  <si>
    <t xml:space="preserve">Implication</t>
  </si>
  <si>
    <t xml:space="preserve">The file holds only the Users entity: a clean sheet (1,000 rows) and an audit sheet (1,008 rows). The Task Activity, Rewards, Wallet, Withdrawals, Referrals and Feature Events sheets described in the brief are not in it.</t>
  </si>
  <si>
    <t xml:space="preserve">6 of the 8 expected datasets missing</t>
  </si>
  <si>
    <t xml:space="preserve">Relationship tests beyond Users and 47 of 54 KPI tests cannot be run (A046).</t>
  </si>
  <si>
    <t xml:space="preserve">KPI test: 2 KPIs are fully calculable (Registrations, Account Status Mix), 5 are partly calculable from proxies, and 47 are not calculable.</t>
  </si>
  <si>
    <t xml:space="preserve">2 calculable, 5 partly, 47 not</t>
  </si>
  <si>
    <t xml:space="preserve">The structure supplied supports user counting only; earning, reward, wallet, withdrawal and engagement analytics need their own data.</t>
  </si>
  <si>
    <t xml:space="preserve">The dataset's own Synthetic_Summary matches a recomputation from the clean sheet for all 8 metrics.</t>
  </si>
  <si>
    <t xml:space="preserve">8 of 8 match</t>
  </si>
  <si>
    <t xml:space="preserve">The summary can be trusted as a description of the clean sheet.</t>
  </si>
  <si>
    <t xml:space="preserve">Stored derived fields (days_since_registration, is_active_7d, is_active_30d) were computed with a reference time of 15 Sep 2026 00:00, which the file does not state. The 7-day and 30-day counts only reproduce with that time.</t>
  </si>
  <si>
    <t xml:space="preserve">3 derived fields</t>
  </si>
  <si>
    <t xml:space="preserve">Derived values depend on an undocumented reference time (A049). Compute them in the analytics layer instead.</t>
  </si>
  <si>
    <t xml:space="preserve">The 'clean' sheet still breaks rules in the dataset's own dictionary or in common sense: 4 negative days_since_registration values, 4 logins after the stated period end, 72 users with sessions but no login, 30 users with XP but no session, many users with more active days than days available, and 34 users who opted in to marketing while consent is Pending.</t>
  </si>
  <si>
    <t xml:space="preserve">See the Data Quality Audit</t>
  </si>
  <si>
    <t xml:space="preserve">'Clean' here means free of injected problems, not free of rule violations.</t>
  </si>
  <si>
    <t xml:space="preserve">account_status and activity disagree: 25 Suspended and 95 Inactive accounts are flagged active in the last 30 days, and 363 Active accounts are not.</t>
  </si>
  <si>
    <t xml:space="preserve">120 contradictory accounts</t>
  </si>
  <si>
    <t xml:space="preserve">Supports deriving activity from events and keeping account state separate (Work Package B lifecycle model).</t>
  </si>
  <si>
    <t xml:space="preserve">F07</t>
  </si>
  <si>
    <t xml:space="preserve">Referral acquisition has no link to a referrer. referral_source_detail is always 'Friend/Family' and no referral_code_used exists.</t>
  </si>
  <si>
    <t xml:space="preserve">119 referral users unlinked</t>
  </si>
  <si>
    <t xml:space="preserve">Referral activation and conversion cannot be measured until a Referrals table with referrer and referred ids exists.</t>
  </si>
  <si>
    <t xml:space="preserve">F08</t>
  </si>
  <si>
    <t xml:space="preserve">platform is 'Web' for every user and country is 'India' for every user, while primary_device varies (Android, iOS, Windows, macOS). Neither platform nor country is listed in the dataset's own Data_Dictionary (25 fields documented, 27 columns present).</t>
  </si>
  <si>
    <t xml:space="preserve">2 constant, undocumented fields</t>
  </si>
  <si>
    <t xml:space="preserve">platform carries no information here. Our platform values (android, ios, web) need a clear meaning.</t>
  </si>
  <si>
    <t xml:space="preserve">F09</t>
  </si>
  <si>
    <t xml:space="preserve">The file holds personal-looking fields (name, email, age, gender, state, city) that our proposed data dictionary deliberately excludes. This profile does not show their values.</t>
  </si>
  <si>
    <t xml:space="preserve">6 fields</t>
  </si>
  <si>
    <t xml:space="preserve">Data minimisation: share only a sanitised version with analysts and interns (Work Package P).</t>
  </si>
  <si>
    <t xml:space="preserve">F10</t>
  </si>
  <si>
    <t xml:space="preserve">Datetime values carry no timezone.</t>
  </si>
  <si>
    <t xml:space="preserve">1,928 values</t>
  </si>
  <si>
    <t xml:space="preserve">A day boundary cannot be applied safely until the timezone is stated (A012).</t>
  </si>
  <si>
    <t xml:space="preserve">F11</t>
  </si>
  <si>
    <t xml:space="preserve">The audit sheet is the clean sheet plus 8 repeated rows and 12 changed cells (8 blanked values, 1 missing, 1 malformed and 2 altered registration times).</t>
  </si>
  <si>
    <t xml:space="preserve">8 + 12 injected problems</t>
  </si>
  <si>
    <t xml:space="preserve">All messy user_ids exist in the clean sheet, so the injected problems can be traced exactly (see the Data Quality Audit).</t>
  </si>
  <si>
    <t xml:space="preserve">F12</t>
  </si>
  <si>
    <t xml:space="preserve">The dataset adds fields that our dictionary does not have: email_verification_status, consent_status, marketing_opt_in, primary_device, lifetime_sessions, active_days, xp_balance and referral_code.</t>
  </si>
  <si>
    <t xml:space="preserve">8 new fields</t>
  </si>
  <si>
    <t xml:space="preserve">Consider adding verification and consent fields; treat the counters as derived (see Schema_Alignment).</t>
  </si>
</sst>
</file>

<file path=xl/styles.xml><?xml version="1.0" encoding="utf-8"?>
<styleSheet xmlns="http://schemas.openxmlformats.org/spreadsheetml/2006/main">
  <numFmts count="1">
    <numFmt numFmtId="164" formatCode="General"/>
  </numFmts>
  <fonts count="8">
    <font>
      <sz val="11"/>
      <color theme="1"/>
      <name val="Calibri"/>
      <family val="2"/>
      <charset val="1"/>
    </font>
    <font>
      <sz val="10"/>
      <name val="Arial"/>
      <family val="0"/>
    </font>
    <font>
      <sz val="10"/>
      <name val="Arial"/>
      <family val="0"/>
    </font>
    <font>
      <sz val="10"/>
      <name val="Arial"/>
      <family val="0"/>
    </font>
    <font>
      <b val="true"/>
      <sz val="12"/>
      <name val="Arial"/>
      <family val="0"/>
      <charset val="1"/>
    </font>
    <font>
      <sz val="10"/>
      <name val="Arial"/>
      <family val="0"/>
      <charset val="1"/>
    </font>
    <font>
      <b val="true"/>
      <sz val="11"/>
      <name val="Arial"/>
      <family val="0"/>
      <charset val="1"/>
    </font>
    <font>
      <b val="true"/>
      <sz val="10"/>
      <color rgb="FFFFFFFF"/>
      <name val="Arial"/>
      <family val="0"/>
      <charset val="1"/>
    </font>
  </fonts>
  <fills count="7">
    <fill>
      <patternFill patternType="none"/>
    </fill>
    <fill>
      <patternFill patternType="gray125"/>
    </fill>
    <fill>
      <patternFill patternType="solid">
        <fgColor rgb="FF1F3A5F"/>
        <bgColor rgb="FF333333"/>
      </patternFill>
    </fill>
    <fill>
      <patternFill patternType="solid">
        <fgColor rgb="FFC6EFCE"/>
        <bgColor rgb="FFCCFFFF"/>
      </patternFill>
    </fill>
    <fill>
      <patternFill patternType="solid">
        <fgColor rgb="FFF8CBAD"/>
        <bgColor rgb="FFFFEB9C"/>
      </patternFill>
    </fill>
    <fill>
      <patternFill patternType="solid">
        <fgColor rgb="FFFFEB9C"/>
        <bgColor rgb="FFF8CBAD"/>
      </patternFill>
    </fill>
    <fill>
      <patternFill patternType="solid">
        <fgColor rgb="FFEDEDED"/>
        <bgColor rgb="FFFFFFFF"/>
      </patternFill>
    </fill>
  </fills>
  <borders count="2">
    <border diagonalUp="false" diagonalDown="false">
      <left/>
      <right/>
      <top/>
      <bottom/>
      <diagonal/>
    </border>
    <border diagonalUp="false" diagonalDown="false">
      <left style="thin">
        <color rgb="FFBBBBBB"/>
      </left>
      <right style="thin">
        <color rgb="FFBBBBBB"/>
      </right>
      <top style="thin">
        <color rgb="FFBBBBBB"/>
      </top>
      <bottom style="thin">
        <color rgb="FFBBBBBB"/>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1">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true" indent="0" shrinkToFit="false"/>
      <protection locked="true" hidden="false"/>
    </xf>
    <xf numFmtId="164" fontId="5" fillId="0" borderId="0" xfId="0" applyFont="true" applyBorder="false" applyAlignment="true" applyProtection="false">
      <alignment horizontal="general" vertical="bottom" textRotation="0" wrapText="tru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7" fillId="2" borderId="1" xfId="0" applyFont="true" applyBorder="true" applyAlignment="true" applyProtection="false">
      <alignment horizontal="general" vertical="center" textRotation="0" wrapText="tru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xf numFmtId="164" fontId="5" fillId="3" borderId="1" xfId="0" applyFont="true" applyBorder="true" applyAlignment="true" applyProtection="false">
      <alignment horizontal="general" vertical="top" textRotation="0" wrapText="true" indent="0" shrinkToFit="false"/>
      <protection locked="true" hidden="false"/>
    </xf>
    <xf numFmtId="164" fontId="5" fillId="4" borderId="1" xfId="0" applyFont="true" applyBorder="true" applyAlignment="true" applyProtection="false">
      <alignment horizontal="general" vertical="top" textRotation="0" wrapText="true" indent="0" shrinkToFit="false"/>
      <protection locked="true" hidden="false"/>
    </xf>
    <xf numFmtId="164" fontId="5" fillId="5" borderId="1" xfId="0" applyFont="true" applyBorder="true" applyAlignment="true" applyProtection="false">
      <alignment horizontal="general" vertical="top" textRotation="0" wrapText="true" indent="0" shrinkToFit="false"/>
      <protection locked="true" hidden="false"/>
    </xf>
    <xf numFmtId="164" fontId="5" fillId="6" borderId="1"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BBBBB"/>
      <rgbColor rgb="FF808080"/>
      <rgbColor rgb="FF9999FF"/>
      <rgbColor rgb="FF993366"/>
      <rgbColor rgb="FFEDEDED"/>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6EFCE"/>
      <rgbColor rgb="FFFFEB9C"/>
      <rgbColor rgb="FF99CCFF"/>
      <rgbColor rgb="FFFF99CC"/>
      <rgbColor rgb="FFCC99FF"/>
      <rgbColor rgb="FFF8CBAD"/>
      <rgbColor rgb="FF3366FF"/>
      <rgbColor rgb="FF33CCCC"/>
      <rgbColor rgb="FF99CC00"/>
      <rgbColor rgb="FFFFCC00"/>
      <rgbColor rgb="FFFF9900"/>
      <rgbColor rgb="FFFF6600"/>
      <rgbColor rgb="FF666699"/>
      <rgbColor rgb="FF969696"/>
      <rgbColor rgb="FF1F3A5F"/>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6"/>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20"/>
    <col collapsed="false" customWidth="true" hidden="false" outlineLevel="0" max="2" min="2" style="0" width="10"/>
  </cols>
  <sheetData>
    <row r="1" customFormat="false" ht="15" hidden="false" customHeight="false" outlineLevel="0" collapsed="false">
      <c r="A1" s="1" t="s">
        <v>0</v>
      </c>
    </row>
    <row r="2" customFormat="false" ht="23.85" hidden="false" customHeight="false" outlineLevel="0" collapsed="false">
      <c r="A2" s="2" t="s">
        <v>1</v>
      </c>
    </row>
    <row r="3" customFormat="false" ht="23.85" hidden="false" customHeight="false" outlineLevel="0" collapsed="false">
      <c r="A3" s="2" t="s">
        <v>2</v>
      </c>
    </row>
    <row r="4" customFormat="false" ht="23.85" hidden="false" customHeight="false" outlineLevel="0" collapsed="false">
      <c r="A4" s="2" t="s">
        <v>3</v>
      </c>
    </row>
    <row r="5" customFormat="false" ht="15" hidden="false" customHeight="false" outlineLevel="0" collapsed="false">
      <c r="A5" s="2" t="s">
        <v>4</v>
      </c>
    </row>
    <row r="6" customFormat="false" ht="15" hidden="false" customHeight="false" outlineLevel="0" collapsed="false">
      <c r="A6" s="2" t="s">
        <v>5</v>
      </c>
    </row>
    <row r="8" customFormat="false" ht="15" hidden="false" customHeight="false" outlineLevel="0" collapsed="false">
      <c r="A8" s="3" t="s">
        <v>6</v>
      </c>
    </row>
    <row r="9" customFormat="false" ht="15" hidden="false" customHeight="false" outlineLevel="0" collapsed="false">
      <c r="A9" s="4" t="s">
        <v>7</v>
      </c>
      <c r="B9" s="4" t="n">
        <f aca="false">COUNTA(Inventory!A:A)-1</f>
        <v>5</v>
      </c>
    </row>
    <row r="10" customFormat="false" ht="15" hidden="false" customHeight="false" outlineLevel="0" collapsed="false">
      <c r="A10" s="4" t="s">
        <v>8</v>
      </c>
      <c r="B10" s="4" t="n">
        <f aca="false">COUNTA(J3_KPI_Test!A:A)-1</f>
        <v>54</v>
      </c>
    </row>
    <row r="11" customFormat="false" ht="15" hidden="false" customHeight="false" outlineLevel="0" collapsed="false">
      <c r="A11" s="4" t="s">
        <v>9</v>
      </c>
      <c r="B11" s="4" t="n">
        <f aca="false">COUNTIF(J3_KPI_Test!G:G,"Calculable")</f>
        <v>2</v>
      </c>
    </row>
    <row r="12" customFormat="false" ht="15" hidden="false" customHeight="false" outlineLevel="0" collapsed="false">
      <c r="A12" s="4" t="s">
        <v>10</v>
      </c>
      <c r="B12" s="4" t="n">
        <f aca="false">COUNTIF(J3_KPI_Test!G:G,"Partly calculable")</f>
        <v>5</v>
      </c>
    </row>
    <row r="13" customFormat="false" ht="15" hidden="false" customHeight="false" outlineLevel="0" collapsed="false">
      <c r="A13" s="4" t="s">
        <v>11</v>
      </c>
      <c r="B13" s="4" t="n">
        <f aca="false">COUNTIF(J3_KPI_Test!G:G,"Not calculable")</f>
        <v>47</v>
      </c>
    </row>
    <row r="14" customFormat="false" ht="15" hidden="false" customHeight="false" outlineLevel="0" collapsed="false">
      <c r="A14" s="4" t="s">
        <v>12</v>
      </c>
      <c r="B14" s="4" t="n">
        <f aca="false">COUNTIF(J2_Relationship_Tests!C:C,"Pass")</f>
        <v>7</v>
      </c>
    </row>
    <row r="15" customFormat="false" ht="15" hidden="false" customHeight="false" outlineLevel="0" collapsed="false">
      <c r="A15" s="4" t="s">
        <v>13</v>
      </c>
      <c r="B15" s="4" t="n">
        <f aca="false">COUNTIF(J2_Relationship_Tests!C:C,"Fail")</f>
        <v>2</v>
      </c>
    </row>
    <row r="16" customFormat="false" ht="15" hidden="false" customHeight="false" outlineLevel="0" collapsed="false">
      <c r="A16" s="4" t="s">
        <v>14</v>
      </c>
      <c r="B16" s="4" t="n">
        <f aca="false">COUNTIF(J2_Relationship_Tests!C:C,"Not testable")</f>
        <v>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8"/>
    <col collapsed="false" customWidth="true" hidden="false" outlineLevel="0" max="3" min="2" style="0" width="10"/>
    <col collapsed="false" customWidth="true" hidden="false" outlineLevel="0" max="4" min="4" style="0" width="32"/>
  </cols>
  <sheetData>
    <row r="1" customFormat="false" ht="15" hidden="false" customHeight="false" outlineLevel="0" collapsed="false">
      <c r="A1" s="5" t="s">
        <v>15</v>
      </c>
      <c r="B1" s="5" t="s">
        <v>16</v>
      </c>
      <c r="C1" s="5" t="s">
        <v>17</v>
      </c>
      <c r="D1" s="5" t="s">
        <v>18</v>
      </c>
    </row>
    <row r="2" customFormat="false" ht="15" hidden="false" customHeight="false" outlineLevel="0" collapsed="false">
      <c r="A2" s="6" t="s">
        <v>19</v>
      </c>
      <c r="B2" s="6" t="n">
        <v>1000</v>
      </c>
      <c r="C2" s="6" t="n">
        <v>27</v>
      </c>
      <c r="D2" s="6" t="s">
        <v>20</v>
      </c>
    </row>
    <row r="3" customFormat="false" ht="15" hidden="false" customHeight="false" outlineLevel="0" collapsed="false">
      <c r="A3" s="6" t="s">
        <v>21</v>
      </c>
      <c r="B3" s="6" t="n">
        <v>1008</v>
      </c>
      <c r="C3" s="6" t="n">
        <v>28</v>
      </c>
      <c r="D3" s="6" t="s">
        <v>22</v>
      </c>
    </row>
    <row r="4" customFormat="false" ht="15" hidden="false" customHeight="false" outlineLevel="0" collapsed="false">
      <c r="A4" s="6" t="s">
        <v>23</v>
      </c>
      <c r="B4" s="6" t="n">
        <v>25</v>
      </c>
      <c r="C4" s="6" t="n">
        <v>5</v>
      </c>
      <c r="D4" s="6" t="s">
        <v>24</v>
      </c>
    </row>
    <row r="5" customFormat="false" ht="15" hidden="false" customHeight="false" outlineLevel="0" collapsed="false">
      <c r="A5" s="6" t="s">
        <v>25</v>
      </c>
      <c r="B5" s="6" t="n">
        <v>8</v>
      </c>
      <c r="C5" s="6" t="n">
        <v>2</v>
      </c>
      <c r="D5" s="6" t="s">
        <v>24</v>
      </c>
    </row>
    <row r="6" customFormat="false" ht="15" hidden="false" customHeight="false" outlineLevel="0" collapsed="false">
      <c r="A6" s="6" t="s">
        <v>26</v>
      </c>
      <c r="B6" s="6" t="n">
        <v>7</v>
      </c>
      <c r="C6" s="6" t="n">
        <v>2</v>
      </c>
      <c r="D6" s="6" t="s">
        <v>24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2" min="2" style="0" width="24"/>
    <col collapsed="false" customWidth="true" hidden="false" outlineLevel="0" max="3" min="3" style="0" width="60"/>
    <col collapsed="false" customWidth="true" hidden="false" outlineLevel="0" max="4" min="4" style="0" width="24"/>
  </cols>
  <sheetData>
    <row r="1" customFormat="false" ht="23.85" hidden="false" customHeight="false" outlineLevel="0" collapsed="false">
      <c r="A1" s="5" t="s">
        <v>27</v>
      </c>
      <c r="B1" s="5" t="s">
        <v>28</v>
      </c>
      <c r="C1" s="5" t="s">
        <v>29</v>
      </c>
      <c r="D1" s="5" t="s">
        <v>30</v>
      </c>
    </row>
    <row r="2" customFormat="false" ht="15" hidden="false" customHeight="false" outlineLevel="0" collapsed="false">
      <c r="A2" s="6" t="s">
        <v>31</v>
      </c>
      <c r="B2" s="6" t="s">
        <v>32</v>
      </c>
      <c r="C2" s="6" t="s">
        <v>33</v>
      </c>
      <c r="D2" s="7" t="s">
        <v>34</v>
      </c>
    </row>
    <row r="3" customFormat="false" ht="15" hidden="false" customHeight="false" outlineLevel="0" collapsed="false">
      <c r="A3" s="6" t="s">
        <v>35</v>
      </c>
      <c r="B3" s="6" t="s">
        <v>36</v>
      </c>
      <c r="C3" s="6" t="s">
        <v>37</v>
      </c>
      <c r="D3" s="8" t="s">
        <v>38</v>
      </c>
    </row>
    <row r="4" customFormat="false" ht="15" hidden="false" customHeight="false" outlineLevel="0" collapsed="false">
      <c r="A4" s="6" t="s">
        <v>39</v>
      </c>
      <c r="B4" s="6" t="s">
        <v>40</v>
      </c>
      <c r="C4" s="6" t="s">
        <v>37</v>
      </c>
      <c r="D4" s="8" t="s">
        <v>38</v>
      </c>
    </row>
    <row r="5" customFormat="false" ht="15" hidden="false" customHeight="false" outlineLevel="0" collapsed="false">
      <c r="A5" s="6" t="s">
        <v>41</v>
      </c>
      <c r="B5" s="6" t="s">
        <v>42</v>
      </c>
      <c r="C5" s="6" t="s">
        <v>37</v>
      </c>
      <c r="D5" s="8" t="s">
        <v>38</v>
      </c>
    </row>
    <row r="6" customFormat="false" ht="15" hidden="false" customHeight="false" outlineLevel="0" collapsed="false">
      <c r="A6" s="6" t="s">
        <v>43</v>
      </c>
      <c r="B6" s="6" t="s">
        <v>44</v>
      </c>
      <c r="C6" s="6" t="s">
        <v>37</v>
      </c>
      <c r="D6" s="8" t="s">
        <v>38</v>
      </c>
    </row>
    <row r="7" customFormat="false" ht="15" hidden="false" customHeight="false" outlineLevel="0" collapsed="false">
      <c r="A7" s="6" t="s">
        <v>45</v>
      </c>
      <c r="B7" s="6" t="s">
        <v>46</v>
      </c>
      <c r="C7" s="6" t="s">
        <v>37</v>
      </c>
      <c r="D7" s="8" t="s">
        <v>38</v>
      </c>
    </row>
    <row r="8" customFormat="false" ht="15" hidden="false" customHeight="false" outlineLevel="0" collapsed="false">
      <c r="A8" s="6" t="s">
        <v>47</v>
      </c>
      <c r="B8" s="6" t="s">
        <v>48</v>
      </c>
      <c r="C8" s="6" t="s">
        <v>37</v>
      </c>
      <c r="D8" s="8" t="s">
        <v>38</v>
      </c>
    </row>
    <row r="9" customFormat="false" ht="15" hidden="false" customHeight="false" outlineLevel="0" collapsed="false">
      <c r="A9" s="6" t="s">
        <v>49</v>
      </c>
      <c r="B9" s="6" t="s">
        <v>50</v>
      </c>
      <c r="C9" s="6" t="s">
        <v>51</v>
      </c>
      <c r="D9" s="9" t="s">
        <v>52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2"/>
    <col collapsed="false" customWidth="true" hidden="false" outlineLevel="0" max="3" min="2" style="0" width="9"/>
    <col collapsed="false" customWidth="true" hidden="false" outlineLevel="0" max="7" min="4" style="0" width="22"/>
    <col collapsed="false" customWidth="true" hidden="false" outlineLevel="0" max="12" min="8" style="0" width="12"/>
    <col collapsed="false" customWidth="true" hidden="false" outlineLevel="0" max="13" min="13" style="0" width="14"/>
  </cols>
  <sheetData>
    <row r="1" customFormat="false" ht="23.85" hidden="false" customHeight="false" outlineLevel="0" collapsed="false">
      <c r="A1" s="5" t="s">
        <v>53</v>
      </c>
      <c r="B1" s="5" t="s">
        <v>54</v>
      </c>
      <c r="C1" s="5" t="s">
        <v>17</v>
      </c>
      <c r="D1" s="5" t="s">
        <v>55</v>
      </c>
      <c r="E1" s="5" t="s">
        <v>56</v>
      </c>
      <c r="F1" s="5" t="s">
        <v>57</v>
      </c>
      <c r="G1" s="5" t="s">
        <v>58</v>
      </c>
      <c r="H1" s="5" t="s">
        <v>59</v>
      </c>
      <c r="I1" s="5" t="s">
        <v>60</v>
      </c>
      <c r="J1" s="5" t="s">
        <v>61</v>
      </c>
      <c r="K1" s="5" t="s">
        <v>62</v>
      </c>
      <c r="L1" s="5" t="s">
        <v>63</v>
      </c>
      <c r="M1" s="5" t="s">
        <v>64</v>
      </c>
    </row>
    <row r="2" customFormat="false" ht="15" hidden="false" customHeight="false" outlineLevel="0" collapsed="false">
      <c r="A2" s="6" t="s">
        <v>19</v>
      </c>
      <c r="B2" s="6" t="n">
        <v>1000</v>
      </c>
      <c r="C2" s="6" t="n">
        <v>27</v>
      </c>
      <c r="D2" s="6" t="s">
        <v>65</v>
      </c>
      <c r="E2" s="6" t="s">
        <v>66</v>
      </c>
      <c r="F2" s="6" t="s">
        <v>67</v>
      </c>
      <c r="G2" s="6" t="s">
        <v>68</v>
      </c>
      <c r="H2" s="6" t="n">
        <v>1000</v>
      </c>
      <c r="I2" s="6" t="n">
        <v>0</v>
      </c>
      <c r="J2" s="6" t="n">
        <v>0</v>
      </c>
      <c r="K2" s="6" t="n">
        <v>953</v>
      </c>
      <c r="L2" s="6" t="n">
        <v>1000</v>
      </c>
      <c r="M2" s="6" t="n">
        <v>1000</v>
      </c>
    </row>
    <row r="3" customFormat="false" ht="15" hidden="false" customHeight="false" outlineLevel="0" collapsed="false">
      <c r="A3" s="6" t="s">
        <v>21</v>
      </c>
      <c r="B3" s="6" t="n">
        <v>1008</v>
      </c>
      <c r="C3" s="6" t="n">
        <v>28</v>
      </c>
      <c r="D3" s="6" t="s">
        <v>65</v>
      </c>
      <c r="E3" s="6" t="s">
        <v>66</v>
      </c>
      <c r="F3" s="6" t="s">
        <v>67</v>
      </c>
      <c r="G3" s="6" t="s">
        <v>68</v>
      </c>
      <c r="H3" s="6" t="n">
        <v>1000</v>
      </c>
      <c r="I3" s="6" t="n">
        <v>8</v>
      </c>
      <c r="J3" s="6" t="n">
        <v>8</v>
      </c>
      <c r="K3" s="6" t="n">
        <v>966</v>
      </c>
      <c r="L3" s="6" t="n">
        <v>1000</v>
      </c>
      <c r="M3" s="6" t="n">
        <v>1000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5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22"/>
    <col collapsed="false" customWidth="true" hidden="false" outlineLevel="0" max="2" min="2" style="0" width="28"/>
    <col collapsed="false" customWidth="true" hidden="false" outlineLevel="0" max="3" min="3" style="0" width="22"/>
    <col collapsed="false" customWidth="true" hidden="false" outlineLevel="0" max="6" min="4" style="0" width="10"/>
    <col collapsed="false" customWidth="true" hidden="false" outlineLevel="0" max="8" min="7" style="0" width="24"/>
    <col collapsed="false" customWidth="true" hidden="false" outlineLevel="0" max="9" min="9" style="0" width="10"/>
    <col collapsed="false" customWidth="true" hidden="false" outlineLevel="0" max="10" min="10" style="0" width="12"/>
    <col collapsed="false" customWidth="true" hidden="false" outlineLevel="0" max="11" min="11" style="0" width="30"/>
  </cols>
  <sheetData>
    <row r="1" customFormat="false" ht="15" hidden="false" customHeight="false" outlineLevel="0" collapsed="false">
      <c r="A1" s="5" t="s">
        <v>53</v>
      </c>
      <c r="B1" s="5" t="s">
        <v>69</v>
      </c>
      <c r="C1" s="5" t="s">
        <v>70</v>
      </c>
      <c r="D1" s="5" t="s">
        <v>71</v>
      </c>
      <c r="E1" s="5" t="s">
        <v>38</v>
      </c>
      <c r="F1" s="5" t="s">
        <v>72</v>
      </c>
      <c r="G1" s="5" t="s">
        <v>73</v>
      </c>
      <c r="H1" s="5" t="s">
        <v>74</v>
      </c>
      <c r="I1" s="5" t="s">
        <v>75</v>
      </c>
      <c r="J1" s="5" t="s">
        <v>76</v>
      </c>
      <c r="K1" s="5" t="s">
        <v>77</v>
      </c>
    </row>
    <row r="2" customFormat="false" ht="15" hidden="false" customHeight="false" outlineLevel="0" collapsed="false">
      <c r="A2" s="6" t="s">
        <v>19</v>
      </c>
      <c r="B2" s="6" t="s">
        <v>78</v>
      </c>
      <c r="C2" s="6" t="s">
        <v>79</v>
      </c>
      <c r="D2" s="6" t="n">
        <v>1000</v>
      </c>
      <c r="E2" s="6" t="n">
        <v>0</v>
      </c>
      <c r="F2" s="6" t="n">
        <v>1000</v>
      </c>
      <c r="G2" s="6"/>
      <c r="H2" s="6"/>
      <c r="I2" s="6"/>
      <c r="J2" s="6"/>
      <c r="K2" s="6"/>
    </row>
    <row r="3" customFormat="false" ht="15" hidden="false" customHeight="false" outlineLevel="0" collapsed="false">
      <c r="A3" s="6" t="s">
        <v>19</v>
      </c>
      <c r="B3" s="6" t="s">
        <v>80</v>
      </c>
      <c r="C3" s="6" t="s">
        <v>81</v>
      </c>
      <c r="D3" s="6" t="n">
        <v>1000</v>
      </c>
      <c r="E3" s="6" t="n">
        <v>0</v>
      </c>
      <c r="F3" s="6" t="n">
        <v>404</v>
      </c>
      <c r="G3" s="6"/>
      <c r="H3" s="6"/>
      <c r="I3" s="6"/>
      <c r="J3" s="6"/>
      <c r="K3" s="6" t="s">
        <v>82</v>
      </c>
    </row>
    <row r="4" customFormat="false" ht="15" hidden="false" customHeight="false" outlineLevel="0" collapsed="false">
      <c r="A4" s="6" t="s">
        <v>19</v>
      </c>
      <c r="B4" s="6" t="s">
        <v>83</v>
      </c>
      <c r="C4" s="6" t="s">
        <v>81</v>
      </c>
      <c r="D4" s="6" t="n">
        <v>1000</v>
      </c>
      <c r="E4" s="6" t="n">
        <v>0</v>
      </c>
      <c r="F4" s="6" t="n">
        <v>1000</v>
      </c>
      <c r="G4" s="6"/>
      <c r="H4" s="6"/>
      <c r="I4" s="6"/>
      <c r="J4" s="6"/>
      <c r="K4" s="6" t="s">
        <v>82</v>
      </c>
    </row>
    <row r="5" customFormat="false" ht="15" hidden="false" customHeight="false" outlineLevel="0" collapsed="false">
      <c r="A5" s="6" t="s">
        <v>19</v>
      </c>
      <c r="B5" s="6" t="s">
        <v>84</v>
      </c>
      <c r="C5" s="6" t="s">
        <v>85</v>
      </c>
      <c r="D5" s="6" t="n">
        <v>1000</v>
      </c>
      <c r="E5" s="6" t="n">
        <v>0</v>
      </c>
      <c r="F5" s="6" t="n">
        <v>21</v>
      </c>
      <c r="G5" s="6" t="n">
        <v>18</v>
      </c>
      <c r="H5" s="6" t="n">
        <v>38</v>
      </c>
      <c r="I5" s="6" t="n">
        <v>28.04</v>
      </c>
      <c r="J5" s="6"/>
      <c r="K5" s="6"/>
    </row>
    <row r="6" customFormat="false" ht="15" hidden="false" customHeight="false" outlineLevel="0" collapsed="false">
      <c r="A6" s="6" t="s">
        <v>19</v>
      </c>
      <c r="B6" s="6" t="s">
        <v>86</v>
      </c>
      <c r="C6" s="6" t="s">
        <v>87</v>
      </c>
      <c r="D6" s="6" t="n">
        <v>1000</v>
      </c>
      <c r="E6" s="6" t="n">
        <v>0</v>
      </c>
      <c r="F6" s="6" t="n">
        <v>3</v>
      </c>
      <c r="G6" s="6"/>
      <c r="H6" s="6"/>
      <c r="I6" s="6"/>
      <c r="J6" s="6"/>
      <c r="K6" s="6" t="s">
        <v>88</v>
      </c>
    </row>
    <row r="7" customFormat="false" ht="15" hidden="false" customHeight="false" outlineLevel="0" collapsed="false">
      <c r="A7" s="6" t="s">
        <v>19</v>
      </c>
      <c r="B7" s="6" t="s">
        <v>89</v>
      </c>
      <c r="C7" s="6" t="s">
        <v>87</v>
      </c>
      <c r="D7" s="6" t="n">
        <v>1000</v>
      </c>
      <c r="E7" s="6" t="n">
        <v>0</v>
      </c>
      <c r="F7" s="6" t="n">
        <v>17</v>
      </c>
      <c r="G7" s="6"/>
      <c r="H7" s="6"/>
      <c r="I7" s="6"/>
      <c r="J7" s="6"/>
      <c r="K7" s="6" t="s">
        <v>90</v>
      </c>
    </row>
    <row r="8" customFormat="false" ht="15" hidden="false" customHeight="false" outlineLevel="0" collapsed="false">
      <c r="A8" s="6" t="s">
        <v>19</v>
      </c>
      <c r="B8" s="6" t="s">
        <v>91</v>
      </c>
      <c r="C8" s="6" t="s">
        <v>87</v>
      </c>
      <c r="D8" s="6" t="n">
        <v>1000</v>
      </c>
      <c r="E8" s="6" t="n">
        <v>0</v>
      </c>
      <c r="F8" s="6" t="n">
        <v>29</v>
      </c>
      <c r="G8" s="6"/>
      <c r="H8" s="6"/>
      <c r="I8" s="6"/>
      <c r="J8" s="6"/>
      <c r="K8" s="6" t="s">
        <v>92</v>
      </c>
    </row>
    <row r="9" customFormat="false" ht="15" hidden="false" customHeight="false" outlineLevel="0" collapsed="false">
      <c r="A9" s="6" t="s">
        <v>19</v>
      </c>
      <c r="B9" s="6" t="s">
        <v>93</v>
      </c>
      <c r="C9" s="6" t="s">
        <v>94</v>
      </c>
      <c r="D9" s="6" t="n">
        <v>1000</v>
      </c>
      <c r="E9" s="6" t="n">
        <v>0</v>
      </c>
      <c r="F9" s="6" t="n">
        <v>999</v>
      </c>
      <c r="G9" s="6" t="s">
        <v>65</v>
      </c>
      <c r="H9" s="6" t="s">
        <v>66</v>
      </c>
      <c r="I9" s="6"/>
      <c r="J9" s="6" t="n">
        <v>0</v>
      </c>
      <c r="K9" s="6"/>
    </row>
    <row r="10" customFormat="false" ht="15" hidden="false" customHeight="false" outlineLevel="0" collapsed="false">
      <c r="A10" s="6" t="s">
        <v>19</v>
      </c>
      <c r="B10" s="6" t="s">
        <v>95</v>
      </c>
      <c r="C10" s="6" t="s">
        <v>87</v>
      </c>
      <c r="D10" s="6" t="n">
        <v>1000</v>
      </c>
      <c r="E10" s="6" t="n">
        <v>0</v>
      </c>
      <c r="F10" s="6" t="n">
        <v>7</v>
      </c>
      <c r="G10" s="6"/>
      <c r="H10" s="6"/>
      <c r="I10" s="6"/>
      <c r="J10" s="6"/>
      <c r="K10" s="6" t="s">
        <v>96</v>
      </c>
    </row>
    <row r="11" customFormat="false" ht="15" hidden="false" customHeight="false" outlineLevel="0" collapsed="false">
      <c r="A11" s="6" t="s">
        <v>19</v>
      </c>
      <c r="B11" s="6" t="s">
        <v>97</v>
      </c>
      <c r="C11" s="6" t="s">
        <v>87</v>
      </c>
      <c r="D11" s="6" t="n">
        <v>119</v>
      </c>
      <c r="E11" s="6" t="n">
        <v>881</v>
      </c>
      <c r="F11" s="6" t="n">
        <v>1</v>
      </c>
      <c r="G11" s="6"/>
      <c r="H11" s="6"/>
      <c r="I11" s="6"/>
      <c r="J11" s="6"/>
      <c r="K11" s="6" t="s">
        <v>98</v>
      </c>
    </row>
    <row r="12" customFormat="false" ht="15" hidden="false" customHeight="false" outlineLevel="0" collapsed="false">
      <c r="A12" s="6" t="s">
        <v>19</v>
      </c>
      <c r="B12" s="6" t="s">
        <v>99</v>
      </c>
      <c r="C12" s="6" t="s">
        <v>87</v>
      </c>
      <c r="D12" s="6" t="n">
        <v>1000</v>
      </c>
      <c r="E12" s="6" t="n">
        <v>0</v>
      </c>
      <c r="F12" s="6" t="n">
        <v>4</v>
      </c>
      <c r="G12" s="6"/>
      <c r="H12" s="6"/>
      <c r="I12" s="6"/>
      <c r="J12" s="6"/>
      <c r="K12" s="6" t="s">
        <v>100</v>
      </c>
    </row>
    <row r="13" customFormat="false" ht="15" hidden="false" customHeight="false" outlineLevel="0" collapsed="false">
      <c r="A13" s="6" t="s">
        <v>19</v>
      </c>
      <c r="B13" s="6" t="s">
        <v>101</v>
      </c>
      <c r="C13" s="6" t="s">
        <v>87</v>
      </c>
      <c r="D13" s="6" t="n">
        <v>1000</v>
      </c>
      <c r="E13" s="6" t="n">
        <v>0</v>
      </c>
      <c r="F13" s="6" t="n">
        <v>1</v>
      </c>
      <c r="G13" s="6"/>
      <c r="H13" s="6"/>
      <c r="I13" s="6"/>
      <c r="J13" s="6"/>
      <c r="K13" s="6" t="s">
        <v>102</v>
      </c>
    </row>
    <row r="14" customFormat="false" ht="15" hidden="false" customHeight="false" outlineLevel="0" collapsed="false">
      <c r="A14" s="6" t="s">
        <v>19</v>
      </c>
      <c r="B14" s="6" t="s">
        <v>103</v>
      </c>
      <c r="C14" s="6" t="s">
        <v>87</v>
      </c>
      <c r="D14" s="6" t="n">
        <v>1000</v>
      </c>
      <c r="E14" s="6" t="n">
        <v>0</v>
      </c>
      <c r="F14" s="6" t="n">
        <v>4</v>
      </c>
      <c r="G14" s="6"/>
      <c r="H14" s="6"/>
      <c r="I14" s="6"/>
      <c r="J14" s="6"/>
      <c r="K14" s="6" t="s">
        <v>104</v>
      </c>
    </row>
    <row r="15" customFormat="false" ht="15" hidden="false" customHeight="false" outlineLevel="0" collapsed="false">
      <c r="A15" s="6" t="s">
        <v>19</v>
      </c>
      <c r="B15" s="6" t="s">
        <v>105</v>
      </c>
      <c r="C15" s="6" t="s">
        <v>87</v>
      </c>
      <c r="D15" s="6" t="n">
        <v>1000</v>
      </c>
      <c r="E15" s="6" t="n">
        <v>0</v>
      </c>
      <c r="F15" s="6" t="n">
        <v>2</v>
      </c>
      <c r="G15" s="6"/>
      <c r="H15" s="6"/>
      <c r="I15" s="6"/>
      <c r="J15" s="6"/>
      <c r="K15" s="6" t="s">
        <v>106</v>
      </c>
    </row>
    <row r="16" customFormat="false" ht="15" hidden="false" customHeight="false" outlineLevel="0" collapsed="false">
      <c r="A16" s="6" t="s">
        <v>19</v>
      </c>
      <c r="B16" s="6" t="s">
        <v>107</v>
      </c>
      <c r="C16" s="6" t="s">
        <v>87</v>
      </c>
      <c r="D16" s="6" t="n">
        <v>1000</v>
      </c>
      <c r="E16" s="6" t="n">
        <v>0</v>
      </c>
      <c r="F16" s="6" t="n">
        <v>3</v>
      </c>
      <c r="G16" s="6"/>
      <c r="H16" s="6"/>
      <c r="I16" s="6"/>
      <c r="J16" s="6"/>
      <c r="K16" s="6" t="s">
        <v>108</v>
      </c>
    </row>
    <row r="17" customFormat="false" ht="15" hidden="false" customHeight="false" outlineLevel="0" collapsed="false">
      <c r="A17" s="6" t="s">
        <v>19</v>
      </c>
      <c r="B17" s="6" t="s">
        <v>109</v>
      </c>
      <c r="C17" s="6" t="s">
        <v>94</v>
      </c>
      <c r="D17" s="6" t="n">
        <v>928</v>
      </c>
      <c r="E17" s="6" t="n">
        <v>72</v>
      </c>
      <c r="F17" s="6" t="n">
        <v>899</v>
      </c>
      <c r="G17" s="6" t="s">
        <v>67</v>
      </c>
      <c r="H17" s="6" t="s">
        <v>68</v>
      </c>
      <c r="I17" s="6"/>
      <c r="J17" s="6" t="n">
        <v>0</v>
      </c>
      <c r="K17" s="6"/>
    </row>
    <row r="18" customFormat="false" ht="15" hidden="false" customHeight="false" outlineLevel="0" collapsed="false">
      <c r="A18" s="6" t="s">
        <v>19</v>
      </c>
      <c r="B18" s="6" t="s">
        <v>110</v>
      </c>
      <c r="C18" s="6" t="s">
        <v>85</v>
      </c>
      <c r="D18" s="6" t="n">
        <v>1000</v>
      </c>
      <c r="E18" s="6" t="n">
        <v>0</v>
      </c>
      <c r="F18" s="6" t="n">
        <v>58</v>
      </c>
      <c r="G18" s="6" t="n">
        <v>0</v>
      </c>
      <c r="H18" s="6" t="n">
        <v>81</v>
      </c>
      <c r="I18" s="6" t="n">
        <v>12.87</v>
      </c>
      <c r="J18" s="6"/>
      <c r="K18" s="6"/>
    </row>
    <row r="19" customFormat="false" ht="15" hidden="false" customHeight="false" outlineLevel="0" collapsed="false">
      <c r="A19" s="6" t="s">
        <v>19</v>
      </c>
      <c r="B19" s="6" t="s">
        <v>111</v>
      </c>
      <c r="C19" s="6" t="s">
        <v>85</v>
      </c>
      <c r="D19" s="6" t="n">
        <v>1000</v>
      </c>
      <c r="E19" s="6" t="n">
        <v>0</v>
      </c>
      <c r="F19" s="6" t="n">
        <v>33</v>
      </c>
      <c r="G19" s="6" t="n">
        <v>0</v>
      </c>
      <c r="H19" s="6" t="n">
        <v>32</v>
      </c>
      <c r="I19" s="6" t="n">
        <v>7.73</v>
      </c>
      <c r="J19" s="6"/>
      <c r="K19" s="6"/>
    </row>
    <row r="20" customFormat="false" ht="15" hidden="false" customHeight="false" outlineLevel="0" collapsed="false">
      <c r="A20" s="6" t="s">
        <v>19</v>
      </c>
      <c r="B20" s="6" t="s">
        <v>112</v>
      </c>
      <c r="C20" s="6" t="s">
        <v>85</v>
      </c>
      <c r="D20" s="6" t="n">
        <v>1000</v>
      </c>
      <c r="E20" s="6" t="n">
        <v>0</v>
      </c>
      <c r="F20" s="6" t="n">
        <v>450</v>
      </c>
      <c r="G20" s="6" t="n">
        <v>5</v>
      </c>
      <c r="H20" s="6" t="n">
        <v>1156</v>
      </c>
      <c r="I20" s="6" t="n">
        <v>231.89</v>
      </c>
      <c r="J20" s="6"/>
      <c r="K20" s="6"/>
    </row>
    <row r="21" customFormat="false" ht="15" hidden="false" customHeight="false" outlineLevel="0" collapsed="false">
      <c r="A21" s="6" t="s">
        <v>19</v>
      </c>
      <c r="B21" s="6" t="s">
        <v>113</v>
      </c>
      <c r="C21" s="6" t="s">
        <v>79</v>
      </c>
      <c r="D21" s="6" t="n">
        <v>1000</v>
      </c>
      <c r="E21" s="6" t="n">
        <v>0</v>
      </c>
      <c r="F21" s="6" t="n">
        <v>1000</v>
      </c>
      <c r="G21" s="6"/>
      <c r="H21" s="6"/>
      <c r="I21" s="6"/>
      <c r="J21" s="6"/>
      <c r="K21" s="6"/>
    </row>
    <row r="22" customFormat="false" ht="15" hidden="false" customHeight="false" outlineLevel="0" collapsed="false">
      <c r="A22" s="6" t="s">
        <v>19</v>
      </c>
      <c r="B22" s="6" t="s">
        <v>114</v>
      </c>
      <c r="C22" s="6" t="s">
        <v>85</v>
      </c>
      <c r="D22" s="6" t="n">
        <v>1000</v>
      </c>
      <c r="E22" s="6" t="n">
        <v>0</v>
      </c>
      <c r="F22" s="6" t="n">
        <v>754</v>
      </c>
      <c r="G22" s="6" t="n">
        <v>-0.8</v>
      </c>
      <c r="H22" s="6" t="n">
        <v>166.9</v>
      </c>
      <c r="I22" s="6" t="n">
        <v>81.33</v>
      </c>
      <c r="J22" s="6"/>
      <c r="K22" s="6"/>
    </row>
    <row r="23" customFormat="false" ht="15" hidden="false" customHeight="false" outlineLevel="0" collapsed="false">
      <c r="A23" s="6" t="s">
        <v>19</v>
      </c>
      <c r="B23" s="6" t="s">
        <v>115</v>
      </c>
      <c r="C23" s="6" t="s">
        <v>87</v>
      </c>
      <c r="D23" s="6" t="n">
        <v>1000</v>
      </c>
      <c r="E23" s="6" t="n">
        <v>0</v>
      </c>
      <c r="F23" s="6" t="n">
        <v>2</v>
      </c>
      <c r="G23" s="6"/>
      <c r="H23" s="6"/>
      <c r="I23" s="6"/>
      <c r="J23" s="6"/>
      <c r="K23" s="6" t="s">
        <v>116</v>
      </c>
    </row>
    <row r="24" customFormat="false" ht="15" hidden="false" customHeight="false" outlineLevel="0" collapsed="false">
      <c r="A24" s="6" t="s">
        <v>19</v>
      </c>
      <c r="B24" s="6" t="s">
        <v>117</v>
      </c>
      <c r="C24" s="6" t="s">
        <v>87</v>
      </c>
      <c r="D24" s="6" t="n">
        <v>1000</v>
      </c>
      <c r="E24" s="6" t="n">
        <v>0</v>
      </c>
      <c r="F24" s="6" t="n">
        <v>2</v>
      </c>
      <c r="G24" s="6"/>
      <c r="H24" s="6"/>
      <c r="I24" s="6"/>
      <c r="J24" s="6"/>
      <c r="K24" s="6" t="s">
        <v>118</v>
      </c>
    </row>
    <row r="25" customFormat="false" ht="15" hidden="false" customHeight="false" outlineLevel="0" collapsed="false">
      <c r="A25" s="6" t="s">
        <v>19</v>
      </c>
      <c r="B25" s="6" t="s">
        <v>119</v>
      </c>
      <c r="C25" s="6" t="s">
        <v>87</v>
      </c>
      <c r="D25" s="6" t="n">
        <v>1000</v>
      </c>
      <c r="E25" s="6" t="n">
        <v>0</v>
      </c>
      <c r="F25" s="6" t="n">
        <v>2</v>
      </c>
      <c r="G25" s="6"/>
      <c r="H25" s="6"/>
      <c r="I25" s="6"/>
      <c r="J25" s="6"/>
      <c r="K25" s="6" t="s">
        <v>120</v>
      </c>
    </row>
    <row r="26" customFormat="false" ht="15" hidden="false" customHeight="false" outlineLevel="0" collapsed="false">
      <c r="A26" s="6" t="s">
        <v>19</v>
      </c>
      <c r="B26" s="6" t="s">
        <v>121</v>
      </c>
      <c r="C26" s="6" t="s">
        <v>87</v>
      </c>
      <c r="D26" s="6" t="n">
        <v>1000</v>
      </c>
      <c r="E26" s="6" t="n">
        <v>0</v>
      </c>
      <c r="F26" s="6" t="n">
        <v>2</v>
      </c>
      <c r="G26" s="6"/>
      <c r="H26" s="6"/>
      <c r="I26" s="6"/>
      <c r="J26" s="6"/>
      <c r="K26" s="6" t="s">
        <v>122</v>
      </c>
    </row>
    <row r="27" customFormat="false" ht="15" hidden="false" customHeight="false" outlineLevel="0" collapsed="false">
      <c r="A27" s="6" t="s">
        <v>19</v>
      </c>
      <c r="B27" s="6" t="s">
        <v>123</v>
      </c>
      <c r="C27" s="6" t="s">
        <v>87</v>
      </c>
      <c r="D27" s="6" t="n">
        <v>1000</v>
      </c>
      <c r="E27" s="6" t="n">
        <v>0</v>
      </c>
      <c r="F27" s="6" t="n">
        <v>2</v>
      </c>
      <c r="G27" s="6"/>
      <c r="H27" s="6"/>
      <c r="I27" s="6"/>
      <c r="J27" s="6"/>
      <c r="K27" s="6" t="s">
        <v>124</v>
      </c>
    </row>
    <row r="28" customFormat="false" ht="15" hidden="false" customHeight="false" outlineLevel="0" collapsed="false">
      <c r="A28" s="6" t="s">
        <v>19</v>
      </c>
      <c r="B28" s="6" t="s">
        <v>125</v>
      </c>
      <c r="C28" s="6" t="s">
        <v>87</v>
      </c>
      <c r="D28" s="6" t="n">
        <v>1000</v>
      </c>
      <c r="E28" s="6" t="n">
        <v>0</v>
      </c>
      <c r="F28" s="6" t="n">
        <v>1</v>
      </c>
      <c r="G28" s="6"/>
      <c r="H28" s="6"/>
      <c r="I28" s="6"/>
      <c r="J28" s="6"/>
      <c r="K28" s="6" t="s">
        <v>126</v>
      </c>
    </row>
    <row r="29" customFormat="false" ht="15" hidden="false" customHeight="false" outlineLevel="0" collapsed="false">
      <c r="A29" s="6" t="s">
        <v>21</v>
      </c>
      <c r="B29" s="6" t="s">
        <v>78</v>
      </c>
      <c r="C29" s="6" t="s">
        <v>79</v>
      </c>
      <c r="D29" s="6" t="n">
        <v>1008</v>
      </c>
      <c r="E29" s="6" t="n">
        <v>0</v>
      </c>
      <c r="F29" s="6" t="n">
        <v>1000</v>
      </c>
      <c r="G29" s="6"/>
      <c r="H29" s="6"/>
      <c r="I29" s="6"/>
      <c r="J29" s="6"/>
      <c r="K29" s="6"/>
    </row>
    <row r="30" customFormat="false" ht="15" hidden="false" customHeight="false" outlineLevel="0" collapsed="false">
      <c r="A30" s="6" t="s">
        <v>21</v>
      </c>
      <c r="B30" s="6" t="s">
        <v>80</v>
      </c>
      <c r="C30" s="6" t="s">
        <v>81</v>
      </c>
      <c r="D30" s="6" t="n">
        <v>1008</v>
      </c>
      <c r="E30" s="6" t="n">
        <v>0</v>
      </c>
      <c r="F30" s="6" t="n">
        <v>404</v>
      </c>
      <c r="G30" s="6"/>
      <c r="H30" s="6"/>
      <c r="I30" s="6"/>
      <c r="J30" s="6"/>
      <c r="K30" s="6" t="s">
        <v>82</v>
      </c>
    </row>
    <row r="31" customFormat="false" ht="15" hidden="false" customHeight="false" outlineLevel="0" collapsed="false">
      <c r="A31" s="6" t="s">
        <v>21</v>
      </c>
      <c r="B31" s="6" t="s">
        <v>83</v>
      </c>
      <c r="C31" s="6" t="s">
        <v>81</v>
      </c>
      <c r="D31" s="6" t="n">
        <v>1008</v>
      </c>
      <c r="E31" s="6" t="n">
        <v>0</v>
      </c>
      <c r="F31" s="6" t="n">
        <v>1000</v>
      </c>
      <c r="G31" s="6"/>
      <c r="H31" s="6"/>
      <c r="I31" s="6"/>
      <c r="J31" s="6"/>
      <c r="K31" s="6" t="s">
        <v>82</v>
      </c>
    </row>
    <row r="32" customFormat="false" ht="15" hidden="false" customHeight="false" outlineLevel="0" collapsed="false">
      <c r="A32" s="6" t="s">
        <v>21</v>
      </c>
      <c r="B32" s="6" t="s">
        <v>84</v>
      </c>
      <c r="C32" s="6" t="s">
        <v>85</v>
      </c>
      <c r="D32" s="6" t="n">
        <v>1007</v>
      </c>
      <c r="E32" s="6" t="n">
        <v>1</v>
      </c>
      <c r="F32" s="6" t="n">
        <v>21</v>
      </c>
      <c r="G32" s="6" t="n">
        <v>18</v>
      </c>
      <c r="H32" s="6" t="n">
        <v>38</v>
      </c>
      <c r="I32" s="6" t="n">
        <v>28.05</v>
      </c>
      <c r="J32" s="6"/>
      <c r="K32" s="6"/>
    </row>
    <row r="33" customFormat="false" ht="15" hidden="false" customHeight="false" outlineLevel="0" collapsed="false">
      <c r="A33" s="6" t="s">
        <v>21</v>
      </c>
      <c r="B33" s="6" t="s">
        <v>86</v>
      </c>
      <c r="C33" s="6" t="s">
        <v>87</v>
      </c>
      <c r="D33" s="6" t="n">
        <v>1007</v>
      </c>
      <c r="E33" s="6" t="n">
        <v>1</v>
      </c>
      <c r="F33" s="6" t="n">
        <v>3</v>
      </c>
      <c r="G33" s="6"/>
      <c r="H33" s="6"/>
      <c r="I33" s="6"/>
      <c r="J33" s="6"/>
      <c r="K33" s="6" t="s">
        <v>127</v>
      </c>
    </row>
    <row r="34" customFormat="false" ht="15" hidden="false" customHeight="false" outlineLevel="0" collapsed="false">
      <c r="A34" s="6" t="s">
        <v>21</v>
      </c>
      <c r="B34" s="6" t="s">
        <v>89</v>
      </c>
      <c r="C34" s="6" t="s">
        <v>87</v>
      </c>
      <c r="D34" s="6" t="n">
        <v>1008</v>
      </c>
      <c r="E34" s="6" t="n">
        <v>0</v>
      </c>
      <c r="F34" s="6" t="n">
        <v>17</v>
      </c>
      <c r="G34" s="6"/>
      <c r="H34" s="6"/>
      <c r="I34" s="6"/>
      <c r="J34" s="6"/>
      <c r="K34" s="6" t="s">
        <v>90</v>
      </c>
    </row>
    <row r="35" customFormat="false" ht="15" hidden="false" customHeight="false" outlineLevel="0" collapsed="false">
      <c r="A35" s="6" t="s">
        <v>21</v>
      </c>
      <c r="B35" s="6" t="s">
        <v>91</v>
      </c>
      <c r="C35" s="6" t="s">
        <v>87</v>
      </c>
      <c r="D35" s="6" t="n">
        <v>1007</v>
      </c>
      <c r="E35" s="6" t="n">
        <v>1</v>
      </c>
      <c r="F35" s="6" t="n">
        <v>29</v>
      </c>
      <c r="G35" s="6"/>
      <c r="H35" s="6"/>
      <c r="I35" s="6"/>
      <c r="J35" s="6"/>
      <c r="K35" s="6" t="s">
        <v>92</v>
      </c>
    </row>
    <row r="36" customFormat="false" ht="15" hidden="false" customHeight="false" outlineLevel="0" collapsed="false">
      <c r="A36" s="6" t="s">
        <v>21</v>
      </c>
      <c r="B36" s="6" t="s">
        <v>93</v>
      </c>
      <c r="C36" s="6" t="s">
        <v>94</v>
      </c>
      <c r="D36" s="6" t="n">
        <v>1007</v>
      </c>
      <c r="E36" s="6" t="n">
        <v>1</v>
      </c>
      <c r="F36" s="6" t="n">
        <v>998</v>
      </c>
      <c r="G36" s="6" t="s">
        <v>65</v>
      </c>
      <c r="H36" s="6" t="s">
        <v>66</v>
      </c>
      <c r="I36" s="6"/>
      <c r="J36" s="6" t="n">
        <v>1</v>
      </c>
      <c r="K36" s="6"/>
    </row>
    <row r="37" customFormat="false" ht="15" hidden="false" customHeight="false" outlineLevel="0" collapsed="false">
      <c r="A37" s="6" t="s">
        <v>21</v>
      </c>
      <c r="B37" s="6" t="s">
        <v>95</v>
      </c>
      <c r="C37" s="6" t="s">
        <v>87</v>
      </c>
      <c r="D37" s="6" t="n">
        <v>1007</v>
      </c>
      <c r="E37" s="6" t="n">
        <v>1</v>
      </c>
      <c r="F37" s="6" t="n">
        <v>7</v>
      </c>
      <c r="G37" s="6"/>
      <c r="H37" s="6"/>
      <c r="I37" s="6"/>
      <c r="J37" s="6"/>
      <c r="K37" s="6" t="s">
        <v>128</v>
      </c>
    </row>
    <row r="38" customFormat="false" ht="15" hidden="false" customHeight="false" outlineLevel="0" collapsed="false">
      <c r="A38" s="6" t="s">
        <v>21</v>
      </c>
      <c r="B38" s="6" t="s">
        <v>97</v>
      </c>
      <c r="C38" s="6" t="s">
        <v>87</v>
      </c>
      <c r="D38" s="6" t="n">
        <v>123</v>
      </c>
      <c r="E38" s="6" t="n">
        <v>885</v>
      </c>
      <c r="F38" s="6" t="n">
        <v>1</v>
      </c>
      <c r="G38" s="6"/>
      <c r="H38" s="6"/>
      <c r="I38" s="6"/>
      <c r="J38" s="6"/>
      <c r="K38" s="6" t="s">
        <v>129</v>
      </c>
    </row>
    <row r="39" customFormat="false" ht="15" hidden="false" customHeight="false" outlineLevel="0" collapsed="false">
      <c r="A39" s="6" t="s">
        <v>21</v>
      </c>
      <c r="B39" s="6" t="s">
        <v>99</v>
      </c>
      <c r="C39" s="6" t="s">
        <v>87</v>
      </c>
      <c r="D39" s="6" t="n">
        <v>1007</v>
      </c>
      <c r="E39" s="6" t="n">
        <v>1</v>
      </c>
      <c r="F39" s="6" t="n">
        <v>4</v>
      </c>
      <c r="G39" s="6"/>
      <c r="H39" s="6"/>
      <c r="I39" s="6"/>
      <c r="J39" s="6"/>
      <c r="K39" s="6" t="s">
        <v>130</v>
      </c>
    </row>
    <row r="40" customFormat="false" ht="15" hidden="false" customHeight="false" outlineLevel="0" collapsed="false">
      <c r="A40" s="6" t="s">
        <v>21</v>
      </c>
      <c r="B40" s="6" t="s">
        <v>101</v>
      </c>
      <c r="C40" s="6" t="s">
        <v>87</v>
      </c>
      <c r="D40" s="6" t="n">
        <v>1008</v>
      </c>
      <c r="E40" s="6" t="n">
        <v>0</v>
      </c>
      <c r="F40" s="6" t="n">
        <v>1</v>
      </c>
      <c r="G40" s="6"/>
      <c r="H40" s="6"/>
      <c r="I40" s="6"/>
      <c r="J40" s="6"/>
      <c r="K40" s="6" t="s">
        <v>131</v>
      </c>
    </row>
    <row r="41" customFormat="false" ht="15" hidden="false" customHeight="false" outlineLevel="0" collapsed="false">
      <c r="A41" s="6" t="s">
        <v>21</v>
      </c>
      <c r="B41" s="6" t="s">
        <v>103</v>
      </c>
      <c r="C41" s="6" t="s">
        <v>87</v>
      </c>
      <c r="D41" s="6" t="n">
        <v>1008</v>
      </c>
      <c r="E41" s="6" t="n">
        <v>0</v>
      </c>
      <c r="F41" s="6" t="n">
        <v>4</v>
      </c>
      <c r="G41" s="6"/>
      <c r="H41" s="6"/>
      <c r="I41" s="6"/>
      <c r="J41" s="6"/>
      <c r="K41" s="6" t="s">
        <v>132</v>
      </c>
    </row>
    <row r="42" customFormat="false" ht="15" hidden="false" customHeight="false" outlineLevel="0" collapsed="false">
      <c r="A42" s="6" t="s">
        <v>21</v>
      </c>
      <c r="B42" s="6" t="s">
        <v>105</v>
      </c>
      <c r="C42" s="6" t="s">
        <v>87</v>
      </c>
      <c r="D42" s="6" t="n">
        <v>1007</v>
      </c>
      <c r="E42" s="6" t="n">
        <v>1</v>
      </c>
      <c r="F42" s="6" t="n">
        <v>2</v>
      </c>
      <c r="G42" s="6"/>
      <c r="H42" s="6"/>
      <c r="I42" s="6"/>
      <c r="J42" s="6"/>
      <c r="K42" s="6" t="s">
        <v>133</v>
      </c>
    </row>
    <row r="43" customFormat="false" ht="15" hidden="false" customHeight="false" outlineLevel="0" collapsed="false">
      <c r="A43" s="6" t="s">
        <v>21</v>
      </c>
      <c r="B43" s="6" t="s">
        <v>107</v>
      </c>
      <c r="C43" s="6" t="s">
        <v>87</v>
      </c>
      <c r="D43" s="6" t="n">
        <v>1007</v>
      </c>
      <c r="E43" s="6" t="n">
        <v>1</v>
      </c>
      <c r="F43" s="6" t="n">
        <v>3</v>
      </c>
      <c r="G43" s="6"/>
      <c r="H43" s="6"/>
      <c r="I43" s="6"/>
      <c r="J43" s="6"/>
      <c r="K43" s="6" t="s">
        <v>134</v>
      </c>
    </row>
    <row r="44" customFormat="false" ht="15" hidden="false" customHeight="false" outlineLevel="0" collapsed="false">
      <c r="A44" s="6" t="s">
        <v>21</v>
      </c>
      <c r="B44" s="6" t="s">
        <v>109</v>
      </c>
      <c r="C44" s="6" t="s">
        <v>94</v>
      </c>
      <c r="D44" s="6" t="n">
        <v>935</v>
      </c>
      <c r="E44" s="6" t="n">
        <v>73</v>
      </c>
      <c r="F44" s="6" t="n">
        <v>898</v>
      </c>
      <c r="G44" s="6" t="s">
        <v>67</v>
      </c>
      <c r="H44" s="6" t="s">
        <v>68</v>
      </c>
      <c r="I44" s="6"/>
      <c r="J44" s="6" t="n">
        <v>0</v>
      </c>
      <c r="K44" s="6"/>
    </row>
    <row r="45" customFormat="false" ht="15" hidden="false" customHeight="false" outlineLevel="0" collapsed="false">
      <c r="A45" s="6" t="s">
        <v>21</v>
      </c>
      <c r="B45" s="6" t="s">
        <v>110</v>
      </c>
      <c r="C45" s="6" t="s">
        <v>85</v>
      </c>
      <c r="D45" s="6" t="n">
        <v>1008</v>
      </c>
      <c r="E45" s="6" t="n">
        <v>0</v>
      </c>
      <c r="F45" s="6" t="n">
        <v>58</v>
      </c>
      <c r="G45" s="6" t="n">
        <v>0</v>
      </c>
      <c r="H45" s="6" t="n">
        <v>81</v>
      </c>
      <c r="I45" s="6" t="n">
        <v>12.83</v>
      </c>
      <c r="J45" s="6"/>
      <c r="K45" s="6"/>
    </row>
    <row r="46" customFormat="false" ht="15" hidden="false" customHeight="false" outlineLevel="0" collapsed="false">
      <c r="A46" s="6" t="s">
        <v>21</v>
      </c>
      <c r="B46" s="6" t="s">
        <v>111</v>
      </c>
      <c r="C46" s="6" t="s">
        <v>85</v>
      </c>
      <c r="D46" s="6" t="n">
        <v>1008</v>
      </c>
      <c r="E46" s="6" t="n">
        <v>0</v>
      </c>
      <c r="F46" s="6" t="n">
        <v>33</v>
      </c>
      <c r="G46" s="6" t="n">
        <v>0</v>
      </c>
      <c r="H46" s="6" t="n">
        <v>32</v>
      </c>
      <c r="I46" s="6" t="n">
        <v>7.71</v>
      </c>
      <c r="J46" s="6"/>
      <c r="K46" s="6"/>
    </row>
    <row r="47" customFormat="false" ht="15" hidden="false" customHeight="false" outlineLevel="0" collapsed="false">
      <c r="A47" s="6" t="s">
        <v>21</v>
      </c>
      <c r="B47" s="6" t="s">
        <v>112</v>
      </c>
      <c r="C47" s="6" t="s">
        <v>85</v>
      </c>
      <c r="D47" s="6" t="n">
        <v>1008</v>
      </c>
      <c r="E47" s="6" t="n">
        <v>0</v>
      </c>
      <c r="F47" s="6" t="n">
        <v>450</v>
      </c>
      <c r="G47" s="6" t="n">
        <v>5</v>
      </c>
      <c r="H47" s="6" t="n">
        <v>1156</v>
      </c>
      <c r="I47" s="6" t="n">
        <v>231.79</v>
      </c>
      <c r="J47" s="6"/>
      <c r="K47" s="6"/>
    </row>
    <row r="48" customFormat="false" ht="15" hidden="false" customHeight="false" outlineLevel="0" collapsed="false">
      <c r="A48" s="6" t="s">
        <v>21</v>
      </c>
      <c r="B48" s="6" t="s">
        <v>113</v>
      </c>
      <c r="C48" s="6" t="s">
        <v>79</v>
      </c>
      <c r="D48" s="6" t="n">
        <v>1008</v>
      </c>
      <c r="E48" s="6" t="n">
        <v>0</v>
      </c>
      <c r="F48" s="6" t="n">
        <v>1000</v>
      </c>
      <c r="G48" s="6"/>
      <c r="H48" s="6"/>
      <c r="I48" s="6"/>
      <c r="J48" s="6"/>
      <c r="K48" s="6"/>
    </row>
    <row r="49" customFormat="false" ht="15" hidden="false" customHeight="false" outlineLevel="0" collapsed="false">
      <c r="A49" s="6" t="s">
        <v>21</v>
      </c>
      <c r="B49" s="6" t="s">
        <v>114</v>
      </c>
      <c r="C49" s="6" t="s">
        <v>85</v>
      </c>
      <c r="D49" s="6" t="n">
        <v>1008</v>
      </c>
      <c r="E49" s="6" t="n">
        <v>0</v>
      </c>
      <c r="F49" s="6" t="n">
        <v>754</v>
      </c>
      <c r="G49" s="6" t="n">
        <v>-0.8</v>
      </c>
      <c r="H49" s="6" t="n">
        <v>166.9</v>
      </c>
      <c r="I49" s="6" t="n">
        <v>81.39</v>
      </c>
      <c r="J49" s="6"/>
      <c r="K49" s="6"/>
    </row>
    <row r="50" customFormat="false" ht="15" hidden="false" customHeight="false" outlineLevel="0" collapsed="false">
      <c r="A50" s="6" t="s">
        <v>21</v>
      </c>
      <c r="B50" s="6" t="s">
        <v>115</v>
      </c>
      <c r="C50" s="6" t="s">
        <v>87</v>
      </c>
      <c r="D50" s="6" t="n">
        <v>1008</v>
      </c>
      <c r="E50" s="6" t="n">
        <v>0</v>
      </c>
      <c r="F50" s="6" t="n">
        <v>2</v>
      </c>
      <c r="G50" s="6"/>
      <c r="H50" s="6"/>
      <c r="I50" s="6"/>
      <c r="J50" s="6"/>
      <c r="K50" s="6" t="s">
        <v>135</v>
      </c>
    </row>
    <row r="51" customFormat="false" ht="15" hidden="false" customHeight="false" outlineLevel="0" collapsed="false">
      <c r="A51" s="6" t="s">
        <v>21</v>
      </c>
      <c r="B51" s="6" t="s">
        <v>117</v>
      </c>
      <c r="C51" s="6" t="s">
        <v>87</v>
      </c>
      <c r="D51" s="6" t="n">
        <v>1008</v>
      </c>
      <c r="E51" s="6" t="n">
        <v>0</v>
      </c>
      <c r="F51" s="6" t="n">
        <v>2</v>
      </c>
      <c r="G51" s="6"/>
      <c r="H51" s="6"/>
      <c r="I51" s="6"/>
      <c r="J51" s="6"/>
      <c r="K51" s="6" t="s">
        <v>136</v>
      </c>
    </row>
    <row r="52" customFormat="false" ht="15" hidden="false" customHeight="false" outlineLevel="0" collapsed="false">
      <c r="A52" s="6" t="s">
        <v>21</v>
      </c>
      <c r="B52" s="6" t="s">
        <v>119</v>
      </c>
      <c r="C52" s="6" t="s">
        <v>87</v>
      </c>
      <c r="D52" s="6" t="n">
        <v>1008</v>
      </c>
      <c r="E52" s="6" t="n">
        <v>0</v>
      </c>
      <c r="F52" s="6" t="n">
        <v>2</v>
      </c>
      <c r="G52" s="6"/>
      <c r="H52" s="6"/>
      <c r="I52" s="6"/>
      <c r="J52" s="6"/>
      <c r="K52" s="6" t="s">
        <v>137</v>
      </c>
    </row>
    <row r="53" customFormat="false" ht="15" hidden="false" customHeight="false" outlineLevel="0" collapsed="false">
      <c r="A53" s="6" t="s">
        <v>21</v>
      </c>
      <c r="B53" s="6" t="s">
        <v>121</v>
      </c>
      <c r="C53" s="6" t="s">
        <v>87</v>
      </c>
      <c r="D53" s="6" t="n">
        <v>1008</v>
      </c>
      <c r="E53" s="6" t="n">
        <v>0</v>
      </c>
      <c r="F53" s="6" t="n">
        <v>2</v>
      </c>
      <c r="G53" s="6"/>
      <c r="H53" s="6"/>
      <c r="I53" s="6"/>
      <c r="J53" s="6"/>
      <c r="K53" s="6" t="s">
        <v>138</v>
      </c>
    </row>
    <row r="54" customFormat="false" ht="15" hidden="false" customHeight="false" outlineLevel="0" collapsed="false">
      <c r="A54" s="6" t="s">
        <v>21</v>
      </c>
      <c r="B54" s="6" t="s">
        <v>123</v>
      </c>
      <c r="C54" s="6" t="s">
        <v>87</v>
      </c>
      <c r="D54" s="6" t="n">
        <v>1008</v>
      </c>
      <c r="E54" s="6" t="n">
        <v>0</v>
      </c>
      <c r="F54" s="6" t="n">
        <v>2</v>
      </c>
      <c r="G54" s="6"/>
      <c r="H54" s="6"/>
      <c r="I54" s="6"/>
      <c r="J54" s="6"/>
      <c r="K54" s="6" t="s">
        <v>139</v>
      </c>
    </row>
    <row r="55" customFormat="false" ht="15" hidden="false" customHeight="false" outlineLevel="0" collapsed="false">
      <c r="A55" s="6" t="s">
        <v>21</v>
      </c>
      <c r="B55" s="6" t="s">
        <v>125</v>
      </c>
      <c r="C55" s="6" t="s">
        <v>87</v>
      </c>
      <c r="D55" s="6" t="n">
        <v>1008</v>
      </c>
      <c r="E55" s="6" t="n">
        <v>0</v>
      </c>
      <c r="F55" s="6" t="n">
        <v>1</v>
      </c>
      <c r="G55" s="6"/>
      <c r="H55" s="6"/>
      <c r="I55" s="6"/>
      <c r="J55" s="6"/>
      <c r="K55" s="6" t="s">
        <v>140</v>
      </c>
    </row>
    <row r="56" customFormat="false" ht="23.85" hidden="false" customHeight="false" outlineLevel="0" collapsed="false">
      <c r="A56" s="6" t="s">
        <v>21</v>
      </c>
      <c r="B56" s="6" t="s">
        <v>141</v>
      </c>
      <c r="C56" s="6" t="s">
        <v>142</v>
      </c>
      <c r="D56" s="6" t="n">
        <v>1008</v>
      </c>
      <c r="E56" s="6" t="n">
        <v>0</v>
      </c>
      <c r="F56" s="6" t="n">
        <v>1</v>
      </c>
      <c r="G56" s="6"/>
      <c r="H56" s="6"/>
      <c r="I56" s="6"/>
      <c r="J56" s="6"/>
      <c r="K56" s="6" t="s">
        <v>143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7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2"/>
    <col collapsed="false" customWidth="true" hidden="false" outlineLevel="0" max="3" min="2" style="0" width="28"/>
    <col collapsed="false" customWidth="true" hidden="false" outlineLevel="0" max="5" min="4" style="0" width="10"/>
  </cols>
  <sheetData>
    <row r="1" customFormat="false" ht="15" hidden="false" customHeight="false" outlineLevel="0" collapsed="false">
      <c r="A1" s="5" t="s">
        <v>53</v>
      </c>
      <c r="B1" s="5" t="s">
        <v>69</v>
      </c>
      <c r="C1" s="5" t="s">
        <v>144</v>
      </c>
      <c r="D1" s="5" t="s">
        <v>145</v>
      </c>
      <c r="E1" s="5" t="s">
        <v>146</v>
      </c>
    </row>
    <row r="2" customFormat="false" ht="15" hidden="false" customHeight="false" outlineLevel="0" collapsed="false">
      <c r="A2" s="6" t="s">
        <v>19</v>
      </c>
      <c r="B2" s="6" t="s">
        <v>86</v>
      </c>
      <c r="C2" s="6" t="s">
        <v>147</v>
      </c>
      <c r="D2" s="6" t="n">
        <v>343</v>
      </c>
      <c r="E2" s="6" t="n">
        <v>34.3</v>
      </c>
    </row>
    <row r="3" customFormat="false" ht="15" hidden="false" customHeight="false" outlineLevel="0" collapsed="false">
      <c r="A3" s="6" t="s">
        <v>19</v>
      </c>
      <c r="B3" s="6" t="s">
        <v>86</v>
      </c>
      <c r="C3" s="6" t="s">
        <v>148</v>
      </c>
      <c r="D3" s="6" t="n">
        <v>331</v>
      </c>
      <c r="E3" s="6" t="n">
        <v>33.1</v>
      </c>
    </row>
    <row r="4" customFormat="false" ht="15" hidden="false" customHeight="false" outlineLevel="0" collapsed="false">
      <c r="A4" s="6" t="s">
        <v>19</v>
      </c>
      <c r="B4" s="6" t="s">
        <v>86</v>
      </c>
      <c r="C4" s="6" t="s">
        <v>149</v>
      </c>
      <c r="D4" s="6" t="n">
        <v>326</v>
      </c>
      <c r="E4" s="6" t="n">
        <v>32.6</v>
      </c>
    </row>
    <row r="5" customFormat="false" ht="15" hidden="false" customHeight="false" outlineLevel="0" collapsed="false">
      <c r="A5" s="6" t="s">
        <v>19</v>
      </c>
      <c r="B5" s="6" t="s">
        <v>89</v>
      </c>
      <c r="C5" s="6" t="s">
        <v>150</v>
      </c>
      <c r="D5" s="6" t="n">
        <v>129</v>
      </c>
      <c r="E5" s="6" t="n">
        <v>12.9</v>
      </c>
    </row>
    <row r="6" customFormat="false" ht="15" hidden="false" customHeight="false" outlineLevel="0" collapsed="false">
      <c r="A6" s="6" t="s">
        <v>19</v>
      </c>
      <c r="B6" s="6" t="s">
        <v>89</v>
      </c>
      <c r="C6" s="6" t="s">
        <v>151</v>
      </c>
      <c r="D6" s="6" t="n">
        <v>122</v>
      </c>
      <c r="E6" s="6" t="n">
        <v>12.2</v>
      </c>
    </row>
    <row r="7" customFormat="false" ht="15" hidden="false" customHeight="false" outlineLevel="0" collapsed="false">
      <c r="A7" s="6" t="s">
        <v>19</v>
      </c>
      <c r="B7" s="6" t="s">
        <v>89</v>
      </c>
      <c r="C7" s="6" t="s">
        <v>152</v>
      </c>
      <c r="D7" s="6" t="n">
        <v>92</v>
      </c>
      <c r="E7" s="6" t="n">
        <v>9.2</v>
      </c>
    </row>
    <row r="8" customFormat="false" ht="15" hidden="false" customHeight="false" outlineLevel="0" collapsed="false">
      <c r="A8" s="6" t="s">
        <v>19</v>
      </c>
      <c r="B8" s="6" t="s">
        <v>89</v>
      </c>
      <c r="C8" s="6" t="s">
        <v>153</v>
      </c>
      <c r="D8" s="6" t="n">
        <v>83</v>
      </c>
      <c r="E8" s="6" t="n">
        <v>8.3</v>
      </c>
    </row>
    <row r="9" customFormat="false" ht="15" hidden="false" customHeight="false" outlineLevel="0" collapsed="false">
      <c r="A9" s="6" t="s">
        <v>19</v>
      </c>
      <c r="B9" s="6" t="s">
        <v>89</v>
      </c>
      <c r="C9" s="6" t="s">
        <v>154</v>
      </c>
      <c r="D9" s="6" t="n">
        <v>67</v>
      </c>
      <c r="E9" s="6" t="n">
        <v>6.7</v>
      </c>
    </row>
    <row r="10" customFormat="false" ht="15" hidden="false" customHeight="false" outlineLevel="0" collapsed="false">
      <c r="A10" s="6" t="s">
        <v>19</v>
      </c>
      <c r="B10" s="6" t="s">
        <v>89</v>
      </c>
      <c r="C10" s="6" t="s">
        <v>155</v>
      </c>
      <c r="D10" s="6" t="n">
        <v>63</v>
      </c>
      <c r="E10" s="6" t="n">
        <v>6.3</v>
      </c>
    </row>
    <row r="11" customFormat="false" ht="15" hidden="false" customHeight="false" outlineLevel="0" collapsed="false">
      <c r="A11" s="6" t="s">
        <v>19</v>
      </c>
      <c r="B11" s="6" t="s">
        <v>89</v>
      </c>
      <c r="C11" s="6" t="s">
        <v>156</v>
      </c>
      <c r="D11" s="6" t="n">
        <v>63</v>
      </c>
      <c r="E11" s="6" t="n">
        <v>6.3</v>
      </c>
    </row>
    <row r="12" customFormat="false" ht="15" hidden="false" customHeight="false" outlineLevel="0" collapsed="false">
      <c r="A12" s="6" t="s">
        <v>19</v>
      </c>
      <c r="B12" s="6" t="s">
        <v>89</v>
      </c>
      <c r="C12" s="6" t="s">
        <v>157</v>
      </c>
      <c r="D12" s="6" t="n">
        <v>56</v>
      </c>
      <c r="E12" s="6" t="n">
        <v>5.6</v>
      </c>
    </row>
    <row r="13" customFormat="false" ht="15" hidden="false" customHeight="false" outlineLevel="0" collapsed="false">
      <c r="A13" s="6" t="s">
        <v>19</v>
      </c>
      <c r="B13" s="6" t="s">
        <v>89</v>
      </c>
      <c r="C13" s="6" t="s">
        <v>158</v>
      </c>
      <c r="D13" s="6" t="n">
        <v>49</v>
      </c>
      <c r="E13" s="6" t="n">
        <v>4.9</v>
      </c>
    </row>
    <row r="14" customFormat="false" ht="15" hidden="false" customHeight="false" outlineLevel="0" collapsed="false">
      <c r="A14" s="6" t="s">
        <v>19</v>
      </c>
      <c r="B14" s="6" t="s">
        <v>89</v>
      </c>
      <c r="C14" s="6" t="s">
        <v>159</v>
      </c>
      <c r="D14" s="6" t="n">
        <v>48</v>
      </c>
      <c r="E14" s="6" t="n">
        <v>4.8</v>
      </c>
    </row>
    <row r="15" customFormat="false" ht="15" hidden="false" customHeight="false" outlineLevel="0" collapsed="false">
      <c r="A15" s="6" t="s">
        <v>19</v>
      </c>
      <c r="B15" s="6" t="s">
        <v>89</v>
      </c>
      <c r="C15" s="6" t="s">
        <v>160</v>
      </c>
      <c r="D15" s="6" t="n">
        <v>46</v>
      </c>
      <c r="E15" s="6" t="n">
        <v>4.6</v>
      </c>
    </row>
    <row r="16" customFormat="false" ht="15" hidden="false" customHeight="false" outlineLevel="0" collapsed="false">
      <c r="A16" s="6" t="s">
        <v>19</v>
      </c>
      <c r="B16" s="6" t="s">
        <v>89</v>
      </c>
      <c r="C16" s="6" t="s">
        <v>161</v>
      </c>
      <c r="D16" s="6" t="n">
        <v>38</v>
      </c>
      <c r="E16" s="6" t="n">
        <v>3.8</v>
      </c>
    </row>
    <row r="17" customFormat="false" ht="15" hidden="false" customHeight="false" outlineLevel="0" collapsed="false">
      <c r="A17" s="6" t="s">
        <v>19</v>
      </c>
      <c r="B17" s="6" t="s">
        <v>89</v>
      </c>
      <c r="C17" s="6" t="s">
        <v>162</v>
      </c>
      <c r="D17" s="6" t="n">
        <v>36</v>
      </c>
      <c r="E17" s="6" t="n">
        <v>3.6</v>
      </c>
    </row>
    <row r="18" customFormat="false" ht="15" hidden="false" customHeight="false" outlineLevel="0" collapsed="false">
      <c r="A18" s="6" t="s">
        <v>19</v>
      </c>
      <c r="B18" s="6" t="s">
        <v>89</v>
      </c>
      <c r="C18" s="6" t="s">
        <v>163</v>
      </c>
      <c r="D18" s="6" t="n">
        <v>34</v>
      </c>
      <c r="E18" s="6" t="n">
        <v>3.4</v>
      </c>
    </row>
    <row r="19" customFormat="false" ht="15" hidden="false" customHeight="false" outlineLevel="0" collapsed="false">
      <c r="A19" s="6" t="s">
        <v>19</v>
      </c>
      <c r="B19" s="6" t="s">
        <v>89</v>
      </c>
      <c r="C19" s="6" t="s">
        <v>164</v>
      </c>
      <c r="D19" s="6" t="n">
        <v>32</v>
      </c>
      <c r="E19" s="6" t="n">
        <v>3.2</v>
      </c>
    </row>
    <row r="20" customFormat="false" ht="15" hidden="false" customHeight="false" outlineLevel="0" collapsed="false">
      <c r="A20" s="6" t="s">
        <v>19</v>
      </c>
      <c r="B20" s="6" t="s">
        <v>89</v>
      </c>
      <c r="C20" s="6" t="s">
        <v>165</v>
      </c>
      <c r="D20" s="6" t="n">
        <v>25</v>
      </c>
      <c r="E20" s="6" t="n">
        <v>2.5</v>
      </c>
    </row>
    <row r="21" customFormat="false" ht="15" hidden="false" customHeight="false" outlineLevel="0" collapsed="false">
      <c r="A21" s="6" t="s">
        <v>19</v>
      </c>
      <c r="B21" s="6" t="s">
        <v>89</v>
      </c>
      <c r="C21" s="6" t="s">
        <v>166</v>
      </c>
      <c r="D21" s="6" t="n">
        <v>17</v>
      </c>
      <c r="E21" s="6" t="n">
        <v>1.7</v>
      </c>
    </row>
    <row r="22" customFormat="false" ht="15" hidden="false" customHeight="false" outlineLevel="0" collapsed="false">
      <c r="A22" s="6" t="s">
        <v>19</v>
      </c>
      <c r="B22" s="6" t="s">
        <v>91</v>
      </c>
      <c r="C22" s="6" t="s">
        <v>167</v>
      </c>
      <c r="D22" s="6" t="n">
        <v>129</v>
      </c>
      <c r="E22" s="6" t="n">
        <v>12.9</v>
      </c>
    </row>
    <row r="23" customFormat="false" ht="15" hidden="false" customHeight="false" outlineLevel="0" collapsed="false">
      <c r="A23" s="6" t="s">
        <v>19</v>
      </c>
      <c r="B23" s="6" t="s">
        <v>91</v>
      </c>
      <c r="C23" s="6" t="s">
        <v>168</v>
      </c>
      <c r="D23" s="6" t="n">
        <v>83</v>
      </c>
      <c r="E23" s="6" t="n">
        <v>8.3</v>
      </c>
    </row>
    <row r="24" customFormat="false" ht="15" hidden="false" customHeight="false" outlineLevel="0" collapsed="false">
      <c r="A24" s="6" t="s">
        <v>19</v>
      </c>
      <c r="B24" s="6" t="s">
        <v>91</v>
      </c>
      <c r="C24" s="6" t="s">
        <v>169</v>
      </c>
      <c r="D24" s="6" t="n">
        <v>63</v>
      </c>
      <c r="E24" s="6" t="n">
        <v>6.3</v>
      </c>
    </row>
    <row r="25" customFormat="false" ht="15" hidden="false" customHeight="false" outlineLevel="0" collapsed="false">
      <c r="A25" s="6" t="s">
        <v>19</v>
      </c>
      <c r="B25" s="6" t="s">
        <v>91</v>
      </c>
      <c r="C25" s="6" t="s">
        <v>170</v>
      </c>
      <c r="D25" s="6" t="n">
        <v>49</v>
      </c>
      <c r="E25" s="6" t="n">
        <v>4.9</v>
      </c>
    </row>
    <row r="26" customFormat="false" ht="15" hidden="false" customHeight="false" outlineLevel="0" collapsed="false">
      <c r="A26" s="6" t="s">
        <v>19</v>
      </c>
      <c r="B26" s="6" t="s">
        <v>91</v>
      </c>
      <c r="C26" s="6" t="s">
        <v>171</v>
      </c>
      <c r="D26" s="6" t="n">
        <v>48</v>
      </c>
      <c r="E26" s="6" t="n">
        <v>4.8</v>
      </c>
    </row>
    <row r="27" customFormat="false" ht="15" hidden="false" customHeight="false" outlineLevel="0" collapsed="false">
      <c r="A27" s="6" t="s">
        <v>19</v>
      </c>
      <c r="B27" s="6" t="s">
        <v>91</v>
      </c>
      <c r="C27" s="6" t="s">
        <v>172</v>
      </c>
      <c r="D27" s="6" t="n">
        <v>44</v>
      </c>
      <c r="E27" s="6" t="n">
        <v>4.4</v>
      </c>
    </row>
    <row r="28" customFormat="false" ht="15" hidden="false" customHeight="false" outlineLevel="0" collapsed="false">
      <c r="A28" s="6" t="s">
        <v>19</v>
      </c>
      <c r="B28" s="6" t="s">
        <v>91</v>
      </c>
      <c r="C28" s="6" t="s">
        <v>173</v>
      </c>
      <c r="D28" s="6" t="n">
        <v>43</v>
      </c>
      <c r="E28" s="6" t="n">
        <v>4.3</v>
      </c>
    </row>
    <row r="29" customFormat="false" ht="15" hidden="false" customHeight="false" outlineLevel="0" collapsed="false">
      <c r="A29" s="6" t="s">
        <v>19</v>
      </c>
      <c r="B29" s="6" t="s">
        <v>91</v>
      </c>
      <c r="C29" s="6" t="s">
        <v>174</v>
      </c>
      <c r="D29" s="6" t="n">
        <v>40</v>
      </c>
      <c r="E29" s="6" t="n">
        <v>4</v>
      </c>
    </row>
    <row r="30" customFormat="false" ht="15" hidden="false" customHeight="false" outlineLevel="0" collapsed="false">
      <c r="A30" s="6" t="s">
        <v>19</v>
      </c>
      <c r="B30" s="6" t="s">
        <v>91</v>
      </c>
      <c r="C30" s="6" t="s">
        <v>175</v>
      </c>
      <c r="D30" s="6" t="n">
        <v>38</v>
      </c>
      <c r="E30" s="6" t="n">
        <v>3.8</v>
      </c>
    </row>
    <row r="31" customFormat="false" ht="15" hidden="false" customHeight="false" outlineLevel="0" collapsed="false">
      <c r="A31" s="6" t="s">
        <v>19</v>
      </c>
      <c r="B31" s="6" t="s">
        <v>91</v>
      </c>
      <c r="C31" s="6" t="s">
        <v>176</v>
      </c>
      <c r="D31" s="6" t="n">
        <v>38</v>
      </c>
      <c r="E31" s="6" t="n">
        <v>3.8</v>
      </c>
    </row>
    <row r="32" customFormat="false" ht="15" hidden="false" customHeight="false" outlineLevel="0" collapsed="false">
      <c r="A32" s="6" t="s">
        <v>19</v>
      </c>
      <c r="B32" s="6" t="s">
        <v>91</v>
      </c>
      <c r="C32" s="6" t="s">
        <v>177</v>
      </c>
      <c r="D32" s="6" t="n">
        <v>36</v>
      </c>
      <c r="E32" s="6" t="n">
        <v>3.6</v>
      </c>
    </row>
    <row r="33" customFormat="false" ht="15" hidden="false" customHeight="false" outlineLevel="0" collapsed="false">
      <c r="A33" s="6" t="s">
        <v>19</v>
      </c>
      <c r="B33" s="6" t="s">
        <v>91</v>
      </c>
      <c r="C33" s="6" t="s">
        <v>178</v>
      </c>
      <c r="D33" s="6" t="n">
        <v>34</v>
      </c>
      <c r="E33" s="6" t="n">
        <v>3.4</v>
      </c>
    </row>
    <row r="34" customFormat="false" ht="15" hidden="false" customHeight="false" outlineLevel="0" collapsed="false">
      <c r="A34" s="6" t="s">
        <v>19</v>
      </c>
      <c r="B34" s="6" t="s">
        <v>91</v>
      </c>
      <c r="C34" s="6" t="s">
        <v>179</v>
      </c>
      <c r="D34" s="6" t="n">
        <v>32</v>
      </c>
      <c r="E34" s="6" t="n">
        <v>3.2</v>
      </c>
    </row>
    <row r="35" customFormat="false" ht="15" hidden="false" customHeight="false" outlineLevel="0" collapsed="false">
      <c r="A35" s="6" t="s">
        <v>19</v>
      </c>
      <c r="B35" s="6" t="s">
        <v>91</v>
      </c>
      <c r="C35" s="6" t="s">
        <v>180</v>
      </c>
      <c r="D35" s="6" t="n">
        <v>30</v>
      </c>
      <c r="E35" s="6" t="n">
        <v>3</v>
      </c>
    </row>
    <row r="36" customFormat="false" ht="15" hidden="false" customHeight="false" outlineLevel="0" collapsed="false">
      <c r="A36" s="6" t="s">
        <v>19</v>
      </c>
      <c r="B36" s="6" t="s">
        <v>91</v>
      </c>
      <c r="C36" s="6" t="s">
        <v>181</v>
      </c>
      <c r="D36" s="6" t="n">
        <v>30</v>
      </c>
      <c r="E36" s="6" t="n">
        <v>3</v>
      </c>
    </row>
    <row r="37" customFormat="false" ht="15" hidden="false" customHeight="false" outlineLevel="0" collapsed="false">
      <c r="A37" s="6" t="s">
        <v>19</v>
      </c>
      <c r="B37" s="6" t="s">
        <v>91</v>
      </c>
      <c r="C37" s="6" t="s">
        <v>182</v>
      </c>
      <c r="D37" s="6" t="n">
        <v>29</v>
      </c>
      <c r="E37" s="6" t="n">
        <v>2.9</v>
      </c>
    </row>
    <row r="38" customFormat="false" ht="15" hidden="false" customHeight="false" outlineLevel="0" collapsed="false">
      <c r="A38" s="6" t="s">
        <v>19</v>
      </c>
      <c r="B38" s="6" t="s">
        <v>91</v>
      </c>
      <c r="C38" s="6" t="s">
        <v>183</v>
      </c>
      <c r="D38" s="6" t="n">
        <v>26</v>
      </c>
      <c r="E38" s="6" t="n">
        <v>2.6</v>
      </c>
    </row>
    <row r="39" customFormat="false" ht="15" hidden="false" customHeight="false" outlineLevel="0" collapsed="false">
      <c r="A39" s="6" t="s">
        <v>19</v>
      </c>
      <c r="B39" s="6" t="s">
        <v>91</v>
      </c>
      <c r="C39" s="6" t="s">
        <v>184</v>
      </c>
      <c r="D39" s="6" t="n">
        <v>25</v>
      </c>
      <c r="E39" s="6" t="n">
        <v>2.5</v>
      </c>
    </row>
    <row r="40" customFormat="false" ht="15" hidden="false" customHeight="false" outlineLevel="0" collapsed="false">
      <c r="A40" s="6" t="s">
        <v>19</v>
      </c>
      <c r="B40" s="6" t="s">
        <v>91</v>
      </c>
      <c r="C40" s="6" t="s">
        <v>185</v>
      </c>
      <c r="D40" s="6" t="n">
        <v>22</v>
      </c>
      <c r="E40" s="6" t="n">
        <v>2.2</v>
      </c>
    </row>
    <row r="41" customFormat="false" ht="15" hidden="false" customHeight="false" outlineLevel="0" collapsed="false">
      <c r="A41" s="6" t="s">
        <v>19</v>
      </c>
      <c r="B41" s="6" t="s">
        <v>91</v>
      </c>
      <c r="C41" s="6" t="s">
        <v>186</v>
      </c>
      <c r="D41" s="6" t="n">
        <v>20</v>
      </c>
      <c r="E41" s="6" t="n">
        <v>2</v>
      </c>
    </row>
    <row r="42" customFormat="false" ht="15" hidden="false" customHeight="false" outlineLevel="0" collapsed="false">
      <c r="A42" s="6" t="s">
        <v>19</v>
      </c>
      <c r="B42" s="6" t="s">
        <v>91</v>
      </c>
      <c r="C42" s="6" t="s">
        <v>187</v>
      </c>
      <c r="D42" s="6" t="n">
        <v>19</v>
      </c>
      <c r="E42" s="6" t="n">
        <v>1.9</v>
      </c>
    </row>
    <row r="43" customFormat="false" ht="15" hidden="false" customHeight="false" outlineLevel="0" collapsed="false">
      <c r="A43" s="6" t="s">
        <v>19</v>
      </c>
      <c r="B43" s="6" t="s">
        <v>91</v>
      </c>
      <c r="C43" s="6" t="s">
        <v>188</v>
      </c>
      <c r="D43" s="6" t="n">
        <v>18</v>
      </c>
      <c r="E43" s="6" t="n">
        <v>1.8</v>
      </c>
    </row>
    <row r="44" customFormat="false" ht="15" hidden="false" customHeight="false" outlineLevel="0" collapsed="false">
      <c r="A44" s="6" t="s">
        <v>19</v>
      </c>
      <c r="B44" s="6" t="s">
        <v>91</v>
      </c>
      <c r="C44" s="6" t="s">
        <v>189</v>
      </c>
      <c r="D44" s="6" t="n">
        <v>17</v>
      </c>
      <c r="E44" s="6" t="n">
        <v>1.7</v>
      </c>
    </row>
    <row r="45" customFormat="false" ht="15" hidden="false" customHeight="false" outlineLevel="0" collapsed="false">
      <c r="A45" s="6" t="s">
        <v>19</v>
      </c>
      <c r="B45" s="6" t="s">
        <v>91</v>
      </c>
      <c r="C45" s="6" t="s">
        <v>190</v>
      </c>
      <c r="D45" s="6" t="n">
        <v>16</v>
      </c>
      <c r="E45" s="6" t="n">
        <v>1.6</v>
      </c>
    </row>
    <row r="46" customFormat="false" ht="15" hidden="false" customHeight="false" outlineLevel="0" collapsed="false">
      <c r="A46" s="6" t="s">
        <v>19</v>
      </c>
      <c r="B46" s="6" t="s">
        <v>91</v>
      </c>
      <c r="C46" s="6" t="s">
        <v>191</v>
      </c>
      <c r="D46" s="6" t="n">
        <v>16</v>
      </c>
      <c r="E46" s="6" t="n">
        <v>1.6</v>
      </c>
    </row>
    <row r="47" customFormat="false" ht="15" hidden="false" customHeight="false" outlineLevel="0" collapsed="false">
      <c r="A47" s="6" t="s">
        <v>19</v>
      </c>
      <c r="B47" s="6" t="s">
        <v>91</v>
      </c>
      <c r="C47" s="6" t="s">
        <v>192</v>
      </c>
      <c r="D47" s="6" t="n">
        <v>16</v>
      </c>
      <c r="E47" s="6" t="n">
        <v>1.6</v>
      </c>
    </row>
    <row r="48" customFormat="false" ht="15" hidden="false" customHeight="false" outlineLevel="0" collapsed="false">
      <c r="A48" s="6" t="s">
        <v>19</v>
      </c>
      <c r="B48" s="6" t="s">
        <v>91</v>
      </c>
      <c r="C48" s="6" t="s">
        <v>193</v>
      </c>
      <c r="D48" s="6" t="n">
        <v>14</v>
      </c>
      <c r="E48" s="6" t="n">
        <v>1.4</v>
      </c>
    </row>
    <row r="49" customFormat="false" ht="15" hidden="false" customHeight="false" outlineLevel="0" collapsed="false">
      <c r="A49" s="6" t="s">
        <v>19</v>
      </c>
      <c r="B49" s="6" t="s">
        <v>91</v>
      </c>
      <c r="C49" s="6" t="s">
        <v>194</v>
      </c>
      <c r="D49" s="6" t="n">
        <v>13</v>
      </c>
      <c r="E49" s="6" t="n">
        <v>1.3</v>
      </c>
    </row>
    <row r="50" customFormat="false" ht="15" hidden="false" customHeight="false" outlineLevel="0" collapsed="false">
      <c r="A50" s="6" t="s">
        <v>19</v>
      </c>
      <c r="B50" s="6" t="s">
        <v>91</v>
      </c>
      <c r="C50" s="6" t="s">
        <v>195</v>
      </c>
      <c r="D50" s="6" t="n">
        <v>12</v>
      </c>
      <c r="E50" s="6" t="n">
        <v>1.2</v>
      </c>
    </row>
    <row r="51" customFormat="false" ht="15" hidden="false" customHeight="false" outlineLevel="0" collapsed="false">
      <c r="A51" s="6" t="s">
        <v>19</v>
      </c>
      <c r="B51" s="6" t="s">
        <v>95</v>
      </c>
      <c r="C51" s="6" t="s">
        <v>196</v>
      </c>
      <c r="D51" s="6" t="n">
        <v>244</v>
      </c>
      <c r="E51" s="6" t="n">
        <v>24.4</v>
      </c>
    </row>
    <row r="52" customFormat="false" ht="15" hidden="false" customHeight="false" outlineLevel="0" collapsed="false">
      <c r="A52" s="6" t="s">
        <v>19</v>
      </c>
      <c r="B52" s="6" t="s">
        <v>95</v>
      </c>
      <c r="C52" s="6" t="s">
        <v>197</v>
      </c>
      <c r="D52" s="6" t="n">
        <v>217</v>
      </c>
      <c r="E52" s="6" t="n">
        <v>21.7</v>
      </c>
    </row>
    <row r="53" customFormat="false" ht="15" hidden="false" customHeight="false" outlineLevel="0" collapsed="false">
      <c r="A53" s="6" t="s">
        <v>19</v>
      </c>
      <c r="B53" s="6" t="s">
        <v>95</v>
      </c>
      <c r="C53" s="6" t="s">
        <v>198</v>
      </c>
      <c r="D53" s="6" t="n">
        <v>160</v>
      </c>
      <c r="E53" s="6" t="n">
        <v>16</v>
      </c>
    </row>
    <row r="54" customFormat="false" ht="15" hidden="false" customHeight="false" outlineLevel="0" collapsed="false">
      <c r="A54" s="6" t="s">
        <v>19</v>
      </c>
      <c r="B54" s="6" t="s">
        <v>95</v>
      </c>
      <c r="C54" s="6" t="s">
        <v>199</v>
      </c>
      <c r="D54" s="6" t="n">
        <v>119</v>
      </c>
      <c r="E54" s="6" t="n">
        <v>11.9</v>
      </c>
    </row>
    <row r="55" customFormat="false" ht="15" hidden="false" customHeight="false" outlineLevel="0" collapsed="false">
      <c r="A55" s="6" t="s">
        <v>19</v>
      </c>
      <c r="B55" s="6" t="s">
        <v>95</v>
      </c>
      <c r="C55" s="6" t="s">
        <v>200</v>
      </c>
      <c r="D55" s="6" t="n">
        <v>103</v>
      </c>
      <c r="E55" s="6" t="n">
        <v>10.3</v>
      </c>
    </row>
    <row r="56" customFormat="false" ht="15" hidden="false" customHeight="false" outlineLevel="0" collapsed="false">
      <c r="A56" s="6" t="s">
        <v>19</v>
      </c>
      <c r="B56" s="6" t="s">
        <v>95</v>
      </c>
      <c r="C56" s="6" t="s">
        <v>201</v>
      </c>
      <c r="D56" s="6" t="n">
        <v>102</v>
      </c>
      <c r="E56" s="6" t="n">
        <v>10.2</v>
      </c>
    </row>
    <row r="57" customFormat="false" ht="15" hidden="false" customHeight="false" outlineLevel="0" collapsed="false">
      <c r="A57" s="6" t="s">
        <v>19</v>
      </c>
      <c r="B57" s="6" t="s">
        <v>95</v>
      </c>
      <c r="C57" s="6" t="s">
        <v>202</v>
      </c>
      <c r="D57" s="6" t="n">
        <v>55</v>
      </c>
      <c r="E57" s="6" t="n">
        <v>5.5</v>
      </c>
    </row>
    <row r="58" customFormat="false" ht="15" hidden="false" customHeight="false" outlineLevel="0" collapsed="false">
      <c r="A58" s="6" t="s">
        <v>19</v>
      </c>
      <c r="B58" s="6" t="s">
        <v>97</v>
      </c>
      <c r="C58" s="6" t="s">
        <v>203</v>
      </c>
      <c r="D58" s="6" t="n">
        <v>881</v>
      </c>
      <c r="E58" s="6" t="n">
        <v>88.1</v>
      </c>
    </row>
    <row r="59" customFormat="false" ht="15" hidden="false" customHeight="false" outlineLevel="0" collapsed="false">
      <c r="A59" s="6" t="s">
        <v>19</v>
      </c>
      <c r="B59" s="6" t="s">
        <v>97</v>
      </c>
      <c r="C59" s="6" t="s">
        <v>204</v>
      </c>
      <c r="D59" s="6" t="n">
        <v>119</v>
      </c>
      <c r="E59" s="6" t="n">
        <v>11.9</v>
      </c>
    </row>
    <row r="60" customFormat="false" ht="15" hidden="false" customHeight="false" outlineLevel="0" collapsed="false">
      <c r="A60" s="6" t="s">
        <v>19</v>
      </c>
      <c r="B60" s="6" t="s">
        <v>99</v>
      </c>
      <c r="C60" s="6" t="s">
        <v>205</v>
      </c>
      <c r="D60" s="6" t="n">
        <v>659</v>
      </c>
      <c r="E60" s="6" t="n">
        <v>65.9</v>
      </c>
    </row>
    <row r="61" customFormat="false" ht="15" hidden="false" customHeight="false" outlineLevel="0" collapsed="false">
      <c r="A61" s="6" t="s">
        <v>19</v>
      </c>
      <c r="B61" s="6" t="s">
        <v>99</v>
      </c>
      <c r="C61" s="6" t="s">
        <v>206</v>
      </c>
      <c r="D61" s="6" t="n">
        <v>155</v>
      </c>
      <c r="E61" s="6" t="n">
        <v>15.5</v>
      </c>
    </row>
    <row r="62" customFormat="false" ht="15" hidden="false" customHeight="false" outlineLevel="0" collapsed="false">
      <c r="A62" s="6" t="s">
        <v>19</v>
      </c>
      <c r="B62" s="6" t="s">
        <v>99</v>
      </c>
      <c r="C62" s="6" t="s">
        <v>207</v>
      </c>
      <c r="D62" s="6" t="n">
        <v>140</v>
      </c>
      <c r="E62" s="6" t="n">
        <v>14</v>
      </c>
    </row>
    <row r="63" customFormat="false" ht="15" hidden="false" customHeight="false" outlineLevel="0" collapsed="false">
      <c r="A63" s="6" t="s">
        <v>19</v>
      </c>
      <c r="B63" s="6" t="s">
        <v>99</v>
      </c>
      <c r="C63" s="6" t="s">
        <v>208</v>
      </c>
      <c r="D63" s="6" t="n">
        <v>46</v>
      </c>
      <c r="E63" s="6" t="n">
        <v>4.6</v>
      </c>
    </row>
    <row r="64" customFormat="false" ht="15" hidden="false" customHeight="false" outlineLevel="0" collapsed="false">
      <c r="A64" s="6" t="s">
        <v>19</v>
      </c>
      <c r="B64" s="6" t="s">
        <v>101</v>
      </c>
      <c r="C64" s="6" t="s">
        <v>209</v>
      </c>
      <c r="D64" s="6" t="n">
        <v>1000</v>
      </c>
      <c r="E64" s="6" t="n">
        <v>100</v>
      </c>
    </row>
    <row r="65" customFormat="false" ht="15" hidden="false" customHeight="false" outlineLevel="0" collapsed="false">
      <c r="A65" s="6" t="s">
        <v>19</v>
      </c>
      <c r="B65" s="6" t="s">
        <v>103</v>
      </c>
      <c r="C65" s="6" t="s">
        <v>210</v>
      </c>
      <c r="D65" s="6" t="n">
        <v>568</v>
      </c>
      <c r="E65" s="6" t="n">
        <v>56.8</v>
      </c>
    </row>
    <row r="66" customFormat="false" ht="15" hidden="false" customHeight="false" outlineLevel="0" collapsed="false">
      <c r="A66" s="6" t="s">
        <v>19</v>
      </c>
      <c r="B66" s="6" t="s">
        <v>103</v>
      </c>
      <c r="C66" s="6" t="s">
        <v>211</v>
      </c>
      <c r="D66" s="6" t="n">
        <v>283</v>
      </c>
      <c r="E66" s="6" t="n">
        <v>28.3</v>
      </c>
    </row>
    <row r="67" customFormat="false" ht="15" hidden="false" customHeight="false" outlineLevel="0" collapsed="false">
      <c r="A67" s="6" t="s">
        <v>19</v>
      </c>
      <c r="B67" s="6" t="s">
        <v>103</v>
      </c>
      <c r="C67" s="6" t="s">
        <v>212</v>
      </c>
      <c r="D67" s="6" t="n">
        <v>77</v>
      </c>
      <c r="E67" s="6" t="n">
        <v>7.7</v>
      </c>
    </row>
    <row r="68" customFormat="false" ht="15" hidden="false" customHeight="false" outlineLevel="0" collapsed="false">
      <c r="A68" s="6" t="s">
        <v>19</v>
      </c>
      <c r="B68" s="6" t="s">
        <v>103</v>
      </c>
      <c r="C68" s="6" t="s">
        <v>213</v>
      </c>
      <c r="D68" s="6" t="n">
        <v>72</v>
      </c>
      <c r="E68" s="6" t="n">
        <v>7.2</v>
      </c>
    </row>
    <row r="69" customFormat="false" ht="15" hidden="false" customHeight="false" outlineLevel="0" collapsed="false">
      <c r="A69" s="6" t="s">
        <v>19</v>
      </c>
      <c r="B69" s="6" t="s">
        <v>105</v>
      </c>
      <c r="C69" s="6" t="s">
        <v>214</v>
      </c>
      <c r="D69" s="6" t="n">
        <v>855</v>
      </c>
      <c r="E69" s="6" t="n">
        <v>85.5</v>
      </c>
    </row>
    <row r="70" customFormat="false" ht="15" hidden="false" customHeight="false" outlineLevel="0" collapsed="false">
      <c r="A70" s="6" t="s">
        <v>19</v>
      </c>
      <c r="B70" s="6" t="s">
        <v>105</v>
      </c>
      <c r="C70" s="6" t="s">
        <v>215</v>
      </c>
      <c r="D70" s="6" t="n">
        <v>145</v>
      </c>
      <c r="E70" s="6" t="n">
        <v>14.5</v>
      </c>
    </row>
    <row r="71" customFormat="false" ht="15" hidden="false" customHeight="false" outlineLevel="0" collapsed="false">
      <c r="A71" s="6" t="s">
        <v>19</v>
      </c>
      <c r="B71" s="6" t="s">
        <v>107</v>
      </c>
      <c r="C71" s="6" t="s">
        <v>216</v>
      </c>
      <c r="D71" s="6" t="n">
        <v>722</v>
      </c>
      <c r="E71" s="6" t="n">
        <v>72.2</v>
      </c>
    </row>
    <row r="72" customFormat="false" ht="15" hidden="false" customHeight="false" outlineLevel="0" collapsed="false">
      <c r="A72" s="6" t="s">
        <v>19</v>
      </c>
      <c r="B72" s="6" t="s">
        <v>107</v>
      </c>
      <c r="C72" s="6" t="s">
        <v>217</v>
      </c>
      <c r="D72" s="6" t="n">
        <v>146</v>
      </c>
      <c r="E72" s="6" t="n">
        <v>14.6</v>
      </c>
    </row>
    <row r="73" customFormat="false" ht="15" hidden="false" customHeight="false" outlineLevel="0" collapsed="false">
      <c r="A73" s="6" t="s">
        <v>19</v>
      </c>
      <c r="B73" s="6" t="s">
        <v>107</v>
      </c>
      <c r="C73" s="6" t="s">
        <v>218</v>
      </c>
      <c r="D73" s="6" t="n">
        <v>132</v>
      </c>
      <c r="E73" s="6" t="n">
        <v>13.2</v>
      </c>
    </row>
    <row r="74" customFormat="false" ht="15" hidden="false" customHeight="false" outlineLevel="0" collapsed="false">
      <c r="A74" s="6" t="s">
        <v>19</v>
      </c>
      <c r="B74" s="6" t="s">
        <v>119</v>
      </c>
      <c r="C74" s="6" t="s">
        <v>219</v>
      </c>
      <c r="D74" s="6" t="n">
        <v>923</v>
      </c>
      <c r="E74" s="6" t="n">
        <v>92.3</v>
      </c>
    </row>
    <row r="75" customFormat="false" ht="15" hidden="false" customHeight="false" outlineLevel="0" collapsed="false">
      <c r="A75" s="6" t="s">
        <v>19</v>
      </c>
      <c r="B75" s="6" t="s">
        <v>119</v>
      </c>
      <c r="C75" s="6" t="s">
        <v>215</v>
      </c>
      <c r="D75" s="6" t="n">
        <v>77</v>
      </c>
      <c r="E75" s="6" t="n">
        <v>7.7</v>
      </c>
    </row>
    <row r="76" customFormat="false" ht="15" hidden="false" customHeight="false" outlineLevel="0" collapsed="false">
      <c r="A76" s="6" t="s">
        <v>19</v>
      </c>
      <c r="B76" s="6" t="s">
        <v>121</v>
      </c>
      <c r="C76" s="6" t="s">
        <v>220</v>
      </c>
      <c r="D76" s="6" t="n">
        <v>558</v>
      </c>
      <c r="E76" s="6" t="n">
        <v>55.8</v>
      </c>
    </row>
    <row r="77" customFormat="false" ht="15" hidden="false" customHeight="false" outlineLevel="0" collapsed="false">
      <c r="A77" s="6" t="s">
        <v>19</v>
      </c>
      <c r="B77" s="6" t="s">
        <v>121</v>
      </c>
      <c r="C77" s="6" t="s">
        <v>221</v>
      </c>
      <c r="D77" s="6" t="n">
        <v>442</v>
      </c>
      <c r="E77" s="6" t="n">
        <v>44.2</v>
      </c>
    </row>
    <row r="78" customFormat="false" ht="15" hidden="false" customHeight="false" outlineLevel="0" collapsed="false">
      <c r="A78" s="6" t="s">
        <v>19</v>
      </c>
      <c r="B78" s="6" t="s">
        <v>123</v>
      </c>
      <c r="C78" s="6" t="s">
        <v>222</v>
      </c>
      <c r="D78" s="6" t="n">
        <v>661</v>
      </c>
      <c r="E78" s="6" t="n">
        <v>66.1</v>
      </c>
    </row>
    <row r="79" customFormat="false" ht="15" hidden="false" customHeight="false" outlineLevel="0" collapsed="false">
      <c r="A79" s="6" t="s">
        <v>19</v>
      </c>
      <c r="B79" s="6" t="s">
        <v>123</v>
      </c>
      <c r="C79" s="6" t="s">
        <v>223</v>
      </c>
      <c r="D79" s="6" t="n">
        <v>339</v>
      </c>
      <c r="E79" s="6" t="n">
        <v>33.9</v>
      </c>
    </row>
    <row r="80" customFormat="false" ht="15" hidden="false" customHeight="false" outlineLevel="0" collapsed="false">
      <c r="A80" s="6" t="s">
        <v>19</v>
      </c>
      <c r="B80" s="6" t="s">
        <v>125</v>
      </c>
      <c r="C80" s="6" t="s">
        <v>224</v>
      </c>
      <c r="D80" s="6" t="n">
        <v>1000</v>
      </c>
      <c r="E80" s="6" t="n">
        <v>100</v>
      </c>
    </row>
    <row r="81" customFormat="false" ht="15" hidden="false" customHeight="false" outlineLevel="0" collapsed="false">
      <c r="A81" s="6" t="s">
        <v>19</v>
      </c>
      <c r="B81" s="6" t="s">
        <v>115</v>
      </c>
      <c r="C81" s="6" t="s">
        <v>220</v>
      </c>
      <c r="D81" s="6" t="n">
        <v>922</v>
      </c>
      <c r="E81" s="6" t="n">
        <v>92.2</v>
      </c>
    </row>
    <row r="82" customFormat="false" ht="15" hidden="false" customHeight="false" outlineLevel="0" collapsed="false">
      <c r="A82" s="6" t="s">
        <v>19</v>
      </c>
      <c r="B82" s="6" t="s">
        <v>115</v>
      </c>
      <c r="C82" s="6" t="s">
        <v>221</v>
      </c>
      <c r="D82" s="6" t="n">
        <v>78</v>
      </c>
      <c r="E82" s="6" t="n">
        <v>7.8</v>
      </c>
    </row>
    <row r="83" customFormat="false" ht="15" hidden="false" customHeight="false" outlineLevel="0" collapsed="false">
      <c r="A83" s="6" t="s">
        <v>19</v>
      </c>
      <c r="B83" s="6" t="s">
        <v>117</v>
      </c>
      <c r="C83" s="6" t="s">
        <v>220</v>
      </c>
      <c r="D83" s="6" t="n">
        <v>675</v>
      </c>
      <c r="E83" s="6" t="n">
        <v>67.5</v>
      </c>
    </row>
    <row r="84" customFormat="false" ht="15" hidden="false" customHeight="false" outlineLevel="0" collapsed="false">
      <c r="A84" s="6" t="s">
        <v>19</v>
      </c>
      <c r="B84" s="6" t="s">
        <v>117</v>
      </c>
      <c r="C84" s="6" t="s">
        <v>221</v>
      </c>
      <c r="D84" s="6" t="n">
        <v>325</v>
      </c>
      <c r="E84" s="6" t="n">
        <v>32.5</v>
      </c>
    </row>
    <row r="85" customFormat="false" ht="15" hidden="false" customHeight="false" outlineLevel="0" collapsed="false">
      <c r="A85" s="6" t="s">
        <v>21</v>
      </c>
      <c r="B85" s="6" t="s">
        <v>86</v>
      </c>
      <c r="C85" s="6" t="s">
        <v>147</v>
      </c>
      <c r="D85" s="6" t="n">
        <v>345</v>
      </c>
      <c r="E85" s="6" t="n">
        <v>34.2</v>
      </c>
    </row>
    <row r="86" customFormat="false" ht="15" hidden="false" customHeight="false" outlineLevel="0" collapsed="false">
      <c r="A86" s="6" t="s">
        <v>21</v>
      </c>
      <c r="B86" s="6" t="s">
        <v>86</v>
      </c>
      <c r="C86" s="6" t="s">
        <v>148</v>
      </c>
      <c r="D86" s="6" t="n">
        <v>332</v>
      </c>
      <c r="E86" s="6" t="n">
        <v>32.9</v>
      </c>
    </row>
    <row r="87" customFormat="false" ht="15" hidden="false" customHeight="false" outlineLevel="0" collapsed="false">
      <c r="A87" s="6" t="s">
        <v>21</v>
      </c>
      <c r="B87" s="6" t="s">
        <v>86</v>
      </c>
      <c r="C87" s="6" t="s">
        <v>149</v>
      </c>
      <c r="D87" s="6" t="n">
        <v>330</v>
      </c>
      <c r="E87" s="6" t="n">
        <v>32.7</v>
      </c>
    </row>
    <row r="88" customFormat="false" ht="15" hidden="false" customHeight="false" outlineLevel="0" collapsed="false">
      <c r="A88" s="6" t="s">
        <v>21</v>
      </c>
      <c r="B88" s="6" t="s">
        <v>86</v>
      </c>
      <c r="C88" s="6" t="s">
        <v>203</v>
      </c>
      <c r="D88" s="6" t="n">
        <v>1</v>
      </c>
      <c r="E88" s="6" t="n">
        <v>0.1</v>
      </c>
    </row>
    <row r="89" customFormat="false" ht="15" hidden="false" customHeight="false" outlineLevel="0" collapsed="false">
      <c r="A89" s="6" t="s">
        <v>21</v>
      </c>
      <c r="B89" s="6" t="s">
        <v>89</v>
      </c>
      <c r="C89" s="6" t="s">
        <v>150</v>
      </c>
      <c r="D89" s="6" t="n">
        <v>129</v>
      </c>
      <c r="E89" s="6" t="n">
        <v>12.8</v>
      </c>
    </row>
    <row r="90" customFormat="false" ht="15" hidden="false" customHeight="false" outlineLevel="0" collapsed="false">
      <c r="A90" s="6" t="s">
        <v>21</v>
      </c>
      <c r="B90" s="6" t="s">
        <v>89</v>
      </c>
      <c r="C90" s="6" t="s">
        <v>151</v>
      </c>
      <c r="D90" s="6" t="n">
        <v>124</v>
      </c>
      <c r="E90" s="6" t="n">
        <v>12.3</v>
      </c>
    </row>
    <row r="91" customFormat="false" ht="15" hidden="false" customHeight="false" outlineLevel="0" collapsed="false">
      <c r="A91" s="6" t="s">
        <v>21</v>
      </c>
      <c r="B91" s="6" t="s">
        <v>89</v>
      </c>
      <c r="C91" s="6" t="s">
        <v>152</v>
      </c>
      <c r="D91" s="6" t="n">
        <v>93</v>
      </c>
      <c r="E91" s="6" t="n">
        <v>9.2</v>
      </c>
    </row>
    <row r="92" customFormat="false" ht="15" hidden="false" customHeight="false" outlineLevel="0" collapsed="false">
      <c r="A92" s="6" t="s">
        <v>21</v>
      </c>
      <c r="B92" s="6" t="s">
        <v>89</v>
      </c>
      <c r="C92" s="6" t="s">
        <v>153</v>
      </c>
      <c r="D92" s="6" t="n">
        <v>83</v>
      </c>
      <c r="E92" s="6" t="n">
        <v>8.2</v>
      </c>
    </row>
    <row r="93" customFormat="false" ht="15" hidden="false" customHeight="false" outlineLevel="0" collapsed="false">
      <c r="A93" s="6" t="s">
        <v>21</v>
      </c>
      <c r="B93" s="6" t="s">
        <v>89</v>
      </c>
      <c r="C93" s="6" t="s">
        <v>154</v>
      </c>
      <c r="D93" s="6" t="n">
        <v>67</v>
      </c>
      <c r="E93" s="6" t="n">
        <v>6.6</v>
      </c>
    </row>
    <row r="94" customFormat="false" ht="15" hidden="false" customHeight="false" outlineLevel="0" collapsed="false">
      <c r="A94" s="6" t="s">
        <v>21</v>
      </c>
      <c r="B94" s="6" t="s">
        <v>89</v>
      </c>
      <c r="C94" s="6" t="s">
        <v>155</v>
      </c>
      <c r="D94" s="6" t="n">
        <v>64</v>
      </c>
      <c r="E94" s="6" t="n">
        <v>6.3</v>
      </c>
    </row>
    <row r="95" customFormat="false" ht="15" hidden="false" customHeight="false" outlineLevel="0" collapsed="false">
      <c r="A95" s="6" t="s">
        <v>21</v>
      </c>
      <c r="B95" s="6" t="s">
        <v>89</v>
      </c>
      <c r="C95" s="6" t="s">
        <v>156</v>
      </c>
      <c r="D95" s="6" t="n">
        <v>63</v>
      </c>
      <c r="E95" s="6" t="n">
        <v>6.2</v>
      </c>
    </row>
    <row r="96" customFormat="false" ht="15" hidden="false" customHeight="false" outlineLevel="0" collapsed="false">
      <c r="A96" s="6" t="s">
        <v>21</v>
      </c>
      <c r="B96" s="6" t="s">
        <v>89</v>
      </c>
      <c r="C96" s="6" t="s">
        <v>157</v>
      </c>
      <c r="D96" s="6" t="n">
        <v>56</v>
      </c>
      <c r="E96" s="6" t="n">
        <v>5.6</v>
      </c>
    </row>
    <row r="97" customFormat="false" ht="15" hidden="false" customHeight="false" outlineLevel="0" collapsed="false">
      <c r="A97" s="6" t="s">
        <v>21</v>
      </c>
      <c r="B97" s="6" t="s">
        <v>89</v>
      </c>
      <c r="C97" s="6" t="s">
        <v>158</v>
      </c>
      <c r="D97" s="6" t="n">
        <v>50</v>
      </c>
      <c r="E97" s="6" t="n">
        <v>5</v>
      </c>
    </row>
    <row r="98" customFormat="false" ht="15" hidden="false" customHeight="false" outlineLevel="0" collapsed="false">
      <c r="A98" s="6" t="s">
        <v>21</v>
      </c>
      <c r="B98" s="6" t="s">
        <v>89</v>
      </c>
      <c r="C98" s="6" t="s">
        <v>159</v>
      </c>
      <c r="D98" s="6" t="n">
        <v>49</v>
      </c>
      <c r="E98" s="6" t="n">
        <v>4.9</v>
      </c>
    </row>
    <row r="99" customFormat="false" ht="15" hidden="false" customHeight="false" outlineLevel="0" collapsed="false">
      <c r="A99" s="6" t="s">
        <v>21</v>
      </c>
      <c r="B99" s="6" t="s">
        <v>89</v>
      </c>
      <c r="C99" s="6" t="s">
        <v>160</v>
      </c>
      <c r="D99" s="6" t="n">
        <v>47</v>
      </c>
      <c r="E99" s="6" t="n">
        <v>4.7</v>
      </c>
    </row>
    <row r="100" customFormat="false" ht="15" hidden="false" customHeight="false" outlineLevel="0" collapsed="false">
      <c r="A100" s="6" t="s">
        <v>21</v>
      </c>
      <c r="B100" s="6" t="s">
        <v>89</v>
      </c>
      <c r="C100" s="6" t="s">
        <v>161</v>
      </c>
      <c r="D100" s="6" t="n">
        <v>38</v>
      </c>
      <c r="E100" s="6" t="n">
        <v>3.8</v>
      </c>
    </row>
    <row r="101" customFormat="false" ht="15" hidden="false" customHeight="false" outlineLevel="0" collapsed="false">
      <c r="A101" s="6" t="s">
        <v>21</v>
      </c>
      <c r="B101" s="6" t="s">
        <v>89</v>
      </c>
      <c r="C101" s="6" t="s">
        <v>162</v>
      </c>
      <c r="D101" s="6" t="n">
        <v>36</v>
      </c>
      <c r="E101" s="6" t="n">
        <v>3.6</v>
      </c>
    </row>
    <row r="102" customFormat="false" ht="15" hidden="false" customHeight="false" outlineLevel="0" collapsed="false">
      <c r="A102" s="6" t="s">
        <v>21</v>
      </c>
      <c r="B102" s="6" t="s">
        <v>89</v>
      </c>
      <c r="C102" s="6" t="s">
        <v>163</v>
      </c>
      <c r="D102" s="6" t="n">
        <v>34</v>
      </c>
      <c r="E102" s="6" t="n">
        <v>3.4</v>
      </c>
    </row>
    <row r="103" customFormat="false" ht="15" hidden="false" customHeight="false" outlineLevel="0" collapsed="false">
      <c r="A103" s="6" t="s">
        <v>21</v>
      </c>
      <c r="B103" s="6" t="s">
        <v>89</v>
      </c>
      <c r="C103" s="6" t="s">
        <v>164</v>
      </c>
      <c r="D103" s="6" t="n">
        <v>32</v>
      </c>
      <c r="E103" s="6" t="n">
        <v>3.2</v>
      </c>
    </row>
    <row r="104" customFormat="false" ht="15" hidden="false" customHeight="false" outlineLevel="0" collapsed="false">
      <c r="A104" s="6" t="s">
        <v>21</v>
      </c>
      <c r="B104" s="6" t="s">
        <v>89</v>
      </c>
      <c r="C104" s="6" t="s">
        <v>165</v>
      </c>
      <c r="D104" s="6" t="n">
        <v>26</v>
      </c>
      <c r="E104" s="6" t="n">
        <v>2.6</v>
      </c>
    </row>
    <row r="105" customFormat="false" ht="15" hidden="false" customHeight="false" outlineLevel="0" collapsed="false">
      <c r="A105" s="6" t="s">
        <v>21</v>
      </c>
      <c r="B105" s="6" t="s">
        <v>89</v>
      </c>
      <c r="C105" s="6" t="s">
        <v>166</v>
      </c>
      <c r="D105" s="6" t="n">
        <v>17</v>
      </c>
      <c r="E105" s="6" t="n">
        <v>1.7</v>
      </c>
    </row>
    <row r="106" customFormat="false" ht="15" hidden="false" customHeight="false" outlineLevel="0" collapsed="false">
      <c r="A106" s="6" t="s">
        <v>21</v>
      </c>
      <c r="B106" s="6" t="s">
        <v>91</v>
      </c>
      <c r="C106" s="6" t="s">
        <v>167</v>
      </c>
      <c r="D106" s="6" t="n">
        <v>129</v>
      </c>
      <c r="E106" s="6" t="n">
        <v>12.8</v>
      </c>
    </row>
    <row r="107" customFormat="false" ht="15" hidden="false" customHeight="false" outlineLevel="0" collapsed="false">
      <c r="A107" s="6" t="s">
        <v>21</v>
      </c>
      <c r="B107" s="6" t="s">
        <v>91</v>
      </c>
      <c r="C107" s="6" t="s">
        <v>168</v>
      </c>
      <c r="D107" s="6" t="n">
        <v>82</v>
      </c>
      <c r="E107" s="6" t="n">
        <v>8.1</v>
      </c>
    </row>
    <row r="108" customFormat="false" ht="15" hidden="false" customHeight="false" outlineLevel="0" collapsed="false">
      <c r="A108" s="6" t="s">
        <v>21</v>
      </c>
      <c r="B108" s="6" t="s">
        <v>91</v>
      </c>
      <c r="C108" s="6" t="s">
        <v>169</v>
      </c>
      <c r="D108" s="6" t="n">
        <v>63</v>
      </c>
      <c r="E108" s="6" t="n">
        <v>6.2</v>
      </c>
    </row>
    <row r="109" customFormat="false" ht="15" hidden="false" customHeight="false" outlineLevel="0" collapsed="false">
      <c r="A109" s="6" t="s">
        <v>21</v>
      </c>
      <c r="B109" s="6" t="s">
        <v>91</v>
      </c>
      <c r="C109" s="6" t="s">
        <v>170</v>
      </c>
      <c r="D109" s="6" t="n">
        <v>49</v>
      </c>
      <c r="E109" s="6" t="n">
        <v>4.9</v>
      </c>
    </row>
    <row r="110" customFormat="false" ht="15" hidden="false" customHeight="false" outlineLevel="0" collapsed="false">
      <c r="A110" s="6" t="s">
        <v>21</v>
      </c>
      <c r="B110" s="6" t="s">
        <v>91</v>
      </c>
      <c r="C110" s="6" t="s">
        <v>171</v>
      </c>
      <c r="D110" s="6" t="n">
        <v>49</v>
      </c>
      <c r="E110" s="6" t="n">
        <v>4.9</v>
      </c>
    </row>
    <row r="111" customFormat="false" ht="15" hidden="false" customHeight="false" outlineLevel="0" collapsed="false">
      <c r="A111" s="6" t="s">
        <v>21</v>
      </c>
      <c r="B111" s="6" t="s">
        <v>91</v>
      </c>
      <c r="C111" s="6" t="s">
        <v>172</v>
      </c>
      <c r="D111" s="6" t="n">
        <v>46</v>
      </c>
      <c r="E111" s="6" t="n">
        <v>4.6</v>
      </c>
    </row>
    <row r="112" customFormat="false" ht="15" hidden="false" customHeight="false" outlineLevel="0" collapsed="false">
      <c r="A112" s="6" t="s">
        <v>21</v>
      </c>
      <c r="B112" s="6" t="s">
        <v>91</v>
      </c>
      <c r="C112" s="6" t="s">
        <v>173</v>
      </c>
      <c r="D112" s="6" t="n">
        <v>44</v>
      </c>
      <c r="E112" s="6" t="n">
        <v>4.4</v>
      </c>
    </row>
    <row r="113" customFormat="false" ht="15" hidden="false" customHeight="false" outlineLevel="0" collapsed="false">
      <c r="A113" s="6" t="s">
        <v>21</v>
      </c>
      <c r="B113" s="6" t="s">
        <v>91</v>
      </c>
      <c r="C113" s="6" t="s">
        <v>174</v>
      </c>
      <c r="D113" s="6" t="n">
        <v>40</v>
      </c>
      <c r="E113" s="6" t="n">
        <v>4</v>
      </c>
    </row>
    <row r="114" customFormat="false" ht="15" hidden="false" customHeight="false" outlineLevel="0" collapsed="false">
      <c r="A114" s="6" t="s">
        <v>21</v>
      </c>
      <c r="B114" s="6" t="s">
        <v>91</v>
      </c>
      <c r="C114" s="6" t="s">
        <v>175</v>
      </c>
      <c r="D114" s="6" t="n">
        <v>38</v>
      </c>
      <c r="E114" s="6" t="n">
        <v>3.8</v>
      </c>
    </row>
    <row r="115" customFormat="false" ht="15" hidden="false" customHeight="false" outlineLevel="0" collapsed="false">
      <c r="A115" s="6" t="s">
        <v>21</v>
      </c>
      <c r="B115" s="6" t="s">
        <v>91</v>
      </c>
      <c r="C115" s="6" t="s">
        <v>176</v>
      </c>
      <c r="D115" s="6" t="n">
        <v>38</v>
      </c>
      <c r="E115" s="6" t="n">
        <v>3.8</v>
      </c>
    </row>
    <row r="116" customFormat="false" ht="15" hidden="false" customHeight="false" outlineLevel="0" collapsed="false">
      <c r="A116" s="6" t="s">
        <v>21</v>
      </c>
      <c r="B116" s="6" t="s">
        <v>91</v>
      </c>
      <c r="C116" s="6" t="s">
        <v>177</v>
      </c>
      <c r="D116" s="6" t="n">
        <v>36</v>
      </c>
      <c r="E116" s="6" t="n">
        <v>3.6</v>
      </c>
    </row>
    <row r="117" customFormat="false" ht="15" hidden="false" customHeight="false" outlineLevel="0" collapsed="false">
      <c r="A117" s="6" t="s">
        <v>21</v>
      </c>
      <c r="B117" s="6" t="s">
        <v>91</v>
      </c>
      <c r="C117" s="6" t="s">
        <v>178</v>
      </c>
      <c r="D117" s="6" t="n">
        <v>34</v>
      </c>
      <c r="E117" s="6" t="n">
        <v>3.4</v>
      </c>
    </row>
    <row r="118" customFormat="false" ht="15" hidden="false" customHeight="false" outlineLevel="0" collapsed="false">
      <c r="A118" s="6" t="s">
        <v>21</v>
      </c>
      <c r="B118" s="6" t="s">
        <v>91</v>
      </c>
      <c r="C118" s="6" t="s">
        <v>179</v>
      </c>
      <c r="D118" s="6" t="n">
        <v>32</v>
      </c>
      <c r="E118" s="6" t="n">
        <v>3.2</v>
      </c>
    </row>
    <row r="119" customFormat="false" ht="15" hidden="false" customHeight="false" outlineLevel="0" collapsed="false">
      <c r="A119" s="6" t="s">
        <v>21</v>
      </c>
      <c r="B119" s="6" t="s">
        <v>91</v>
      </c>
      <c r="C119" s="6" t="s">
        <v>181</v>
      </c>
      <c r="D119" s="6" t="n">
        <v>31</v>
      </c>
      <c r="E119" s="6" t="n">
        <v>3.1</v>
      </c>
    </row>
    <row r="120" customFormat="false" ht="15" hidden="false" customHeight="false" outlineLevel="0" collapsed="false">
      <c r="A120" s="6" t="s">
        <v>21</v>
      </c>
      <c r="B120" s="6" t="s">
        <v>91</v>
      </c>
      <c r="C120" s="6" t="s">
        <v>180</v>
      </c>
      <c r="D120" s="6" t="n">
        <v>30</v>
      </c>
      <c r="E120" s="6" t="n">
        <v>3</v>
      </c>
    </row>
    <row r="121" customFormat="false" ht="15" hidden="false" customHeight="false" outlineLevel="0" collapsed="false">
      <c r="A121" s="6" t="s">
        <v>21</v>
      </c>
      <c r="B121" s="6" t="s">
        <v>91</v>
      </c>
      <c r="C121" s="6" t="s">
        <v>182</v>
      </c>
      <c r="D121" s="6" t="n">
        <v>30</v>
      </c>
      <c r="E121" s="6" t="n">
        <v>3</v>
      </c>
    </row>
    <row r="122" customFormat="false" ht="15" hidden="false" customHeight="false" outlineLevel="0" collapsed="false">
      <c r="A122" s="6" t="s">
        <v>21</v>
      </c>
      <c r="B122" s="6" t="s">
        <v>91</v>
      </c>
      <c r="C122" s="6" t="s">
        <v>183</v>
      </c>
      <c r="D122" s="6" t="n">
        <v>26</v>
      </c>
      <c r="E122" s="6" t="n">
        <v>2.6</v>
      </c>
    </row>
    <row r="123" customFormat="false" ht="15" hidden="false" customHeight="false" outlineLevel="0" collapsed="false">
      <c r="A123" s="6" t="s">
        <v>21</v>
      </c>
      <c r="B123" s="6" t="s">
        <v>91</v>
      </c>
      <c r="C123" s="6" t="s">
        <v>184</v>
      </c>
      <c r="D123" s="6" t="n">
        <v>25</v>
      </c>
      <c r="E123" s="6" t="n">
        <v>2.5</v>
      </c>
    </row>
    <row r="124" customFormat="false" ht="15" hidden="false" customHeight="false" outlineLevel="0" collapsed="false">
      <c r="A124" s="6" t="s">
        <v>21</v>
      </c>
      <c r="B124" s="6" t="s">
        <v>91</v>
      </c>
      <c r="C124" s="6" t="s">
        <v>185</v>
      </c>
      <c r="D124" s="6" t="n">
        <v>22</v>
      </c>
      <c r="E124" s="6" t="n">
        <v>2.2</v>
      </c>
    </row>
    <row r="125" customFormat="false" ht="15" hidden="false" customHeight="false" outlineLevel="0" collapsed="false">
      <c r="A125" s="6" t="s">
        <v>21</v>
      </c>
      <c r="B125" s="6" t="s">
        <v>91</v>
      </c>
      <c r="C125" s="6" t="s">
        <v>186</v>
      </c>
      <c r="D125" s="6" t="n">
        <v>20</v>
      </c>
      <c r="E125" s="6" t="n">
        <v>2</v>
      </c>
    </row>
    <row r="126" customFormat="false" ht="15" hidden="false" customHeight="false" outlineLevel="0" collapsed="false">
      <c r="A126" s="6" t="s">
        <v>21</v>
      </c>
      <c r="B126" s="6" t="s">
        <v>91</v>
      </c>
      <c r="C126" s="6" t="s">
        <v>187</v>
      </c>
      <c r="D126" s="6" t="n">
        <v>19</v>
      </c>
      <c r="E126" s="6" t="n">
        <v>1.9</v>
      </c>
    </row>
    <row r="127" customFormat="false" ht="15" hidden="false" customHeight="false" outlineLevel="0" collapsed="false">
      <c r="A127" s="6" t="s">
        <v>21</v>
      </c>
      <c r="B127" s="6" t="s">
        <v>91</v>
      </c>
      <c r="C127" s="6" t="s">
        <v>188</v>
      </c>
      <c r="D127" s="6" t="n">
        <v>18</v>
      </c>
      <c r="E127" s="6" t="n">
        <v>1.8</v>
      </c>
    </row>
    <row r="128" customFormat="false" ht="15" hidden="false" customHeight="false" outlineLevel="0" collapsed="false">
      <c r="A128" s="6" t="s">
        <v>21</v>
      </c>
      <c r="B128" s="6" t="s">
        <v>91</v>
      </c>
      <c r="C128" s="6" t="s">
        <v>189</v>
      </c>
      <c r="D128" s="6" t="n">
        <v>17</v>
      </c>
      <c r="E128" s="6" t="n">
        <v>1.7</v>
      </c>
    </row>
    <row r="129" customFormat="false" ht="15" hidden="false" customHeight="false" outlineLevel="0" collapsed="false">
      <c r="A129" s="6" t="s">
        <v>21</v>
      </c>
      <c r="B129" s="6" t="s">
        <v>91</v>
      </c>
      <c r="C129" s="6" t="s">
        <v>192</v>
      </c>
      <c r="D129" s="6" t="n">
        <v>17</v>
      </c>
      <c r="E129" s="6" t="n">
        <v>1.7</v>
      </c>
    </row>
    <row r="130" customFormat="false" ht="15" hidden="false" customHeight="false" outlineLevel="0" collapsed="false">
      <c r="A130" s="6" t="s">
        <v>21</v>
      </c>
      <c r="B130" s="6" t="s">
        <v>91</v>
      </c>
      <c r="C130" s="6" t="s">
        <v>190</v>
      </c>
      <c r="D130" s="6" t="n">
        <v>16</v>
      </c>
      <c r="E130" s="6" t="n">
        <v>1.6</v>
      </c>
    </row>
    <row r="131" customFormat="false" ht="15" hidden="false" customHeight="false" outlineLevel="0" collapsed="false">
      <c r="A131" s="6" t="s">
        <v>21</v>
      </c>
      <c r="B131" s="6" t="s">
        <v>91</v>
      </c>
      <c r="C131" s="6" t="s">
        <v>191</v>
      </c>
      <c r="D131" s="6" t="n">
        <v>16</v>
      </c>
      <c r="E131" s="6" t="n">
        <v>1.6</v>
      </c>
    </row>
    <row r="132" customFormat="false" ht="15" hidden="false" customHeight="false" outlineLevel="0" collapsed="false">
      <c r="A132" s="6" t="s">
        <v>21</v>
      </c>
      <c r="B132" s="6" t="s">
        <v>91</v>
      </c>
      <c r="C132" s="6" t="s">
        <v>193</v>
      </c>
      <c r="D132" s="6" t="n">
        <v>14</v>
      </c>
      <c r="E132" s="6" t="n">
        <v>1.4</v>
      </c>
    </row>
    <row r="133" customFormat="false" ht="15" hidden="false" customHeight="false" outlineLevel="0" collapsed="false">
      <c r="A133" s="6" t="s">
        <v>21</v>
      </c>
      <c r="B133" s="6" t="s">
        <v>91</v>
      </c>
      <c r="C133" s="6" t="s">
        <v>195</v>
      </c>
      <c r="D133" s="6" t="n">
        <v>13</v>
      </c>
      <c r="E133" s="6" t="n">
        <v>1.3</v>
      </c>
    </row>
    <row r="134" customFormat="false" ht="15" hidden="false" customHeight="false" outlineLevel="0" collapsed="false">
      <c r="A134" s="6" t="s">
        <v>21</v>
      </c>
      <c r="B134" s="6" t="s">
        <v>91</v>
      </c>
      <c r="C134" s="6" t="s">
        <v>194</v>
      </c>
      <c r="D134" s="6" t="n">
        <v>13</v>
      </c>
      <c r="E134" s="6" t="n">
        <v>1.3</v>
      </c>
    </row>
    <row r="135" customFormat="false" ht="15" hidden="false" customHeight="false" outlineLevel="0" collapsed="false">
      <c r="A135" s="6" t="s">
        <v>21</v>
      </c>
      <c r="B135" s="6" t="s">
        <v>91</v>
      </c>
      <c r="C135" s="6" t="s">
        <v>203</v>
      </c>
      <c r="D135" s="6" t="n">
        <v>1</v>
      </c>
      <c r="E135" s="6" t="n">
        <v>0.1</v>
      </c>
    </row>
    <row r="136" customFormat="false" ht="15" hidden="false" customHeight="false" outlineLevel="0" collapsed="false">
      <c r="A136" s="6" t="s">
        <v>21</v>
      </c>
      <c r="B136" s="6" t="s">
        <v>95</v>
      </c>
      <c r="C136" s="6" t="s">
        <v>196</v>
      </c>
      <c r="D136" s="6" t="n">
        <v>245</v>
      </c>
      <c r="E136" s="6" t="n">
        <v>24.3</v>
      </c>
    </row>
    <row r="137" customFormat="false" ht="15" hidden="false" customHeight="false" outlineLevel="0" collapsed="false">
      <c r="A137" s="6" t="s">
        <v>21</v>
      </c>
      <c r="B137" s="6" t="s">
        <v>95</v>
      </c>
      <c r="C137" s="6" t="s">
        <v>197</v>
      </c>
      <c r="D137" s="6" t="n">
        <v>216</v>
      </c>
      <c r="E137" s="6" t="n">
        <v>21.4</v>
      </c>
    </row>
    <row r="138" customFormat="false" ht="15" hidden="false" customHeight="false" outlineLevel="0" collapsed="false">
      <c r="A138" s="6" t="s">
        <v>21</v>
      </c>
      <c r="B138" s="6" t="s">
        <v>95</v>
      </c>
      <c r="C138" s="6" t="s">
        <v>198</v>
      </c>
      <c r="D138" s="6" t="n">
        <v>160</v>
      </c>
      <c r="E138" s="6" t="n">
        <v>15.9</v>
      </c>
    </row>
    <row r="139" customFormat="false" ht="15" hidden="false" customHeight="false" outlineLevel="0" collapsed="false">
      <c r="A139" s="6" t="s">
        <v>21</v>
      </c>
      <c r="B139" s="6" t="s">
        <v>95</v>
      </c>
      <c r="C139" s="6" t="s">
        <v>199</v>
      </c>
      <c r="D139" s="6" t="n">
        <v>123</v>
      </c>
      <c r="E139" s="6" t="n">
        <v>12.2</v>
      </c>
    </row>
    <row r="140" customFormat="false" ht="15" hidden="false" customHeight="false" outlineLevel="0" collapsed="false">
      <c r="A140" s="6" t="s">
        <v>21</v>
      </c>
      <c r="B140" s="6" t="s">
        <v>95</v>
      </c>
      <c r="C140" s="6" t="s">
        <v>200</v>
      </c>
      <c r="D140" s="6" t="n">
        <v>104</v>
      </c>
      <c r="E140" s="6" t="n">
        <v>10.3</v>
      </c>
    </row>
    <row r="141" customFormat="false" ht="15" hidden="false" customHeight="false" outlineLevel="0" collapsed="false">
      <c r="A141" s="6" t="s">
        <v>21</v>
      </c>
      <c r="B141" s="6" t="s">
        <v>95</v>
      </c>
      <c r="C141" s="6" t="s">
        <v>201</v>
      </c>
      <c r="D141" s="6" t="n">
        <v>103</v>
      </c>
      <c r="E141" s="6" t="n">
        <v>10.2</v>
      </c>
    </row>
    <row r="142" customFormat="false" ht="15" hidden="false" customHeight="false" outlineLevel="0" collapsed="false">
      <c r="A142" s="6" t="s">
        <v>21</v>
      </c>
      <c r="B142" s="6" t="s">
        <v>95</v>
      </c>
      <c r="C142" s="6" t="s">
        <v>202</v>
      </c>
      <c r="D142" s="6" t="n">
        <v>56</v>
      </c>
      <c r="E142" s="6" t="n">
        <v>5.6</v>
      </c>
    </row>
    <row r="143" customFormat="false" ht="15" hidden="false" customHeight="false" outlineLevel="0" collapsed="false">
      <c r="A143" s="6" t="s">
        <v>21</v>
      </c>
      <c r="B143" s="6" t="s">
        <v>95</v>
      </c>
      <c r="C143" s="6" t="s">
        <v>203</v>
      </c>
      <c r="D143" s="6" t="n">
        <v>1</v>
      </c>
      <c r="E143" s="6" t="n">
        <v>0.1</v>
      </c>
    </row>
    <row r="144" customFormat="false" ht="15" hidden="false" customHeight="false" outlineLevel="0" collapsed="false">
      <c r="A144" s="6" t="s">
        <v>21</v>
      </c>
      <c r="B144" s="6" t="s">
        <v>97</v>
      </c>
      <c r="C144" s="6" t="s">
        <v>203</v>
      </c>
      <c r="D144" s="6" t="n">
        <v>885</v>
      </c>
      <c r="E144" s="6" t="n">
        <v>87.8</v>
      </c>
    </row>
    <row r="145" customFormat="false" ht="15" hidden="false" customHeight="false" outlineLevel="0" collapsed="false">
      <c r="A145" s="6" t="s">
        <v>21</v>
      </c>
      <c r="B145" s="6" t="s">
        <v>97</v>
      </c>
      <c r="C145" s="6" t="s">
        <v>204</v>
      </c>
      <c r="D145" s="6" t="n">
        <v>123</v>
      </c>
      <c r="E145" s="6" t="n">
        <v>12.2</v>
      </c>
    </row>
    <row r="146" customFormat="false" ht="15" hidden="false" customHeight="false" outlineLevel="0" collapsed="false">
      <c r="A146" s="6" t="s">
        <v>21</v>
      </c>
      <c r="B146" s="6" t="s">
        <v>99</v>
      </c>
      <c r="C146" s="6" t="s">
        <v>205</v>
      </c>
      <c r="D146" s="6" t="n">
        <v>662</v>
      </c>
      <c r="E146" s="6" t="n">
        <v>65.7</v>
      </c>
    </row>
    <row r="147" customFormat="false" ht="15" hidden="false" customHeight="false" outlineLevel="0" collapsed="false">
      <c r="A147" s="6" t="s">
        <v>21</v>
      </c>
      <c r="B147" s="6" t="s">
        <v>99</v>
      </c>
      <c r="C147" s="6" t="s">
        <v>206</v>
      </c>
      <c r="D147" s="6" t="n">
        <v>158</v>
      </c>
      <c r="E147" s="6" t="n">
        <v>15.7</v>
      </c>
    </row>
    <row r="148" customFormat="false" ht="15" hidden="false" customHeight="false" outlineLevel="0" collapsed="false">
      <c r="A148" s="6" t="s">
        <v>21</v>
      </c>
      <c r="B148" s="6" t="s">
        <v>99</v>
      </c>
      <c r="C148" s="6" t="s">
        <v>207</v>
      </c>
      <c r="D148" s="6" t="n">
        <v>141</v>
      </c>
      <c r="E148" s="6" t="n">
        <v>14</v>
      </c>
    </row>
    <row r="149" customFormat="false" ht="15" hidden="false" customHeight="false" outlineLevel="0" collapsed="false">
      <c r="A149" s="6" t="s">
        <v>21</v>
      </c>
      <c r="B149" s="6" t="s">
        <v>99</v>
      </c>
      <c r="C149" s="6" t="s">
        <v>208</v>
      </c>
      <c r="D149" s="6" t="n">
        <v>46</v>
      </c>
      <c r="E149" s="6" t="n">
        <v>4.6</v>
      </c>
    </row>
    <row r="150" customFormat="false" ht="15" hidden="false" customHeight="false" outlineLevel="0" collapsed="false">
      <c r="A150" s="6" t="s">
        <v>21</v>
      </c>
      <c r="B150" s="6" t="s">
        <v>99</v>
      </c>
      <c r="C150" s="6" t="s">
        <v>203</v>
      </c>
      <c r="D150" s="6" t="n">
        <v>1</v>
      </c>
      <c r="E150" s="6" t="n">
        <v>0.1</v>
      </c>
    </row>
    <row r="151" customFormat="false" ht="15" hidden="false" customHeight="false" outlineLevel="0" collapsed="false">
      <c r="A151" s="6" t="s">
        <v>21</v>
      </c>
      <c r="B151" s="6" t="s">
        <v>101</v>
      </c>
      <c r="C151" s="6" t="s">
        <v>209</v>
      </c>
      <c r="D151" s="6" t="n">
        <v>1008</v>
      </c>
      <c r="E151" s="6" t="n">
        <v>100</v>
      </c>
    </row>
    <row r="152" customFormat="false" ht="15" hidden="false" customHeight="false" outlineLevel="0" collapsed="false">
      <c r="A152" s="6" t="s">
        <v>21</v>
      </c>
      <c r="B152" s="6" t="s">
        <v>103</v>
      </c>
      <c r="C152" s="6" t="s">
        <v>210</v>
      </c>
      <c r="D152" s="6" t="n">
        <v>571</v>
      </c>
      <c r="E152" s="6" t="n">
        <v>56.6</v>
      </c>
    </row>
    <row r="153" customFormat="false" ht="15" hidden="false" customHeight="false" outlineLevel="0" collapsed="false">
      <c r="A153" s="6" t="s">
        <v>21</v>
      </c>
      <c r="B153" s="6" t="s">
        <v>103</v>
      </c>
      <c r="C153" s="6" t="s">
        <v>211</v>
      </c>
      <c r="D153" s="6" t="n">
        <v>288</v>
      </c>
      <c r="E153" s="6" t="n">
        <v>28.6</v>
      </c>
    </row>
    <row r="154" customFormat="false" ht="15" hidden="false" customHeight="false" outlineLevel="0" collapsed="false">
      <c r="A154" s="6" t="s">
        <v>21</v>
      </c>
      <c r="B154" s="6" t="s">
        <v>103</v>
      </c>
      <c r="C154" s="6" t="s">
        <v>212</v>
      </c>
      <c r="D154" s="6" t="n">
        <v>77</v>
      </c>
      <c r="E154" s="6" t="n">
        <v>7.6</v>
      </c>
    </row>
    <row r="155" customFormat="false" ht="15" hidden="false" customHeight="false" outlineLevel="0" collapsed="false">
      <c r="A155" s="6" t="s">
        <v>21</v>
      </c>
      <c r="B155" s="6" t="s">
        <v>103</v>
      </c>
      <c r="C155" s="6" t="s">
        <v>213</v>
      </c>
      <c r="D155" s="6" t="n">
        <v>72</v>
      </c>
      <c r="E155" s="6" t="n">
        <v>7.1</v>
      </c>
    </row>
    <row r="156" customFormat="false" ht="15" hidden="false" customHeight="false" outlineLevel="0" collapsed="false">
      <c r="A156" s="6" t="s">
        <v>21</v>
      </c>
      <c r="B156" s="6" t="s">
        <v>105</v>
      </c>
      <c r="C156" s="6" t="s">
        <v>214</v>
      </c>
      <c r="D156" s="6" t="n">
        <v>862</v>
      </c>
      <c r="E156" s="6" t="n">
        <v>85.5</v>
      </c>
    </row>
    <row r="157" customFormat="false" ht="15" hidden="false" customHeight="false" outlineLevel="0" collapsed="false">
      <c r="A157" s="6" t="s">
        <v>21</v>
      </c>
      <c r="B157" s="6" t="s">
        <v>105</v>
      </c>
      <c r="C157" s="6" t="s">
        <v>215</v>
      </c>
      <c r="D157" s="6" t="n">
        <v>145</v>
      </c>
      <c r="E157" s="6" t="n">
        <v>14.4</v>
      </c>
    </row>
    <row r="158" customFormat="false" ht="15" hidden="false" customHeight="false" outlineLevel="0" collapsed="false">
      <c r="A158" s="6" t="s">
        <v>21</v>
      </c>
      <c r="B158" s="6" t="s">
        <v>105</v>
      </c>
      <c r="C158" s="6" t="s">
        <v>203</v>
      </c>
      <c r="D158" s="6" t="n">
        <v>1</v>
      </c>
      <c r="E158" s="6" t="n">
        <v>0.1</v>
      </c>
    </row>
    <row r="159" customFormat="false" ht="15" hidden="false" customHeight="false" outlineLevel="0" collapsed="false">
      <c r="A159" s="6" t="s">
        <v>21</v>
      </c>
      <c r="B159" s="6" t="s">
        <v>107</v>
      </c>
      <c r="C159" s="6" t="s">
        <v>216</v>
      </c>
      <c r="D159" s="6" t="n">
        <v>728</v>
      </c>
      <c r="E159" s="6" t="n">
        <v>72.2</v>
      </c>
    </row>
    <row r="160" customFormat="false" ht="15" hidden="false" customHeight="false" outlineLevel="0" collapsed="false">
      <c r="A160" s="6" t="s">
        <v>21</v>
      </c>
      <c r="B160" s="6" t="s">
        <v>107</v>
      </c>
      <c r="C160" s="6" t="s">
        <v>217</v>
      </c>
      <c r="D160" s="6" t="n">
        <v>146</v>
      </c>
      <c r="E160" s="6" t="n">
        <v>14.5</v>
      </c>
    </row>
    <row r="161" customFormat="false" ht="15" hidden="false" customHeight="false" outlineLevel="0" collapsed="false">
      <c r="A161" s="6" t="s">
        <v>21</v>
      </c>
      <c r="B161" s="6" t="s">
        <v>107</v>
      </c>
      <c r="C161" s="6" t="s">
        <v>218</v>
      </c>
      <c r="D161" s="6" t="n">
        <v>133</v>
      </c>
      <c r="E161" s="6" t="n">
        <v>13.2</v>
      </c>
    </row>
    <row r="162" customFormat="false" ht="15" hidden="false" customHeight="false" outlineLevel="0" collapsed="false">
      <c r="A162" s="6" t="s">
        <v>21</v>
      </c>
      <c r="B162" s="6" t="s">
        <v>107</v>
      </c>
      <c r="C162" s="6" t="s">
        <v>203</v>
      </c>
      <c r="D162" s="6" t="n">
        <v>1</v>
      </c>
      <c r="E162" s="6" t="n">
        <v>0.1</v>
      </c>
    </row>
    <row r="163" customFormat="false" ht="15" hidden="false" customHeight="false" outlineLevel="0" collapsed="false">
      <c r="A163" s="6" t="s">
        <v>21</v>
      </c>
      <c r="B163" s="6" t="s">
        <v>119</v>
      </c>
      <c r="C163" s="6" t="s">
        <v>219</v>
      </c>
      <c r="D163" s="6" t="n">
        <v>930</v>
      </c>
      <c r="E163" s="6" t="n">
        <v>92.3</v>
      </c>
    </row>
    <row r="164" customFormat="false" ht="15" hidden="false" customHeight="false" outlineLevel="0" collapsed="false">
      <c r="A164" s="6" t="s">
        <v>21</v>
      </c>
      <c r="B164" s="6" t="s">
        <v>119</v>
      </c>
      <c r="C164" s="6" t="s">
        <v>215</v>
      </c>
      <c r="D164" s="6" t="n">
        <v>78</v>
      </c>
      <c r="E164" s="6" t="n">
        <v>7.7</v>
      </c>
    </row>
    <row r="165" customFormat="false" ht="15" hidden="false" customHeight="false" outlineLevel="0" collapsed="false">
      <c r="A165" s="6" t="s">
        <v>21</v>
      </c>
      <c r="B165" s="6" t="s">
        <v>121</v>
      </c>
      <c r="C165" s="6" t="s">
        <v>220</v>
      </c>
      <c r="D165" s="6" t="n">
        <v>563</v>
      </c>
      <c r="E165" s="6" t="n">
        <v>55.9</v>
      </c>
    </row>
    <row r="166" customFormat="false" ht="15" hidden="false" customHeight="false" outlineLevel="0" collapsed="false">
      <c r="A166" s="6" t="s">
        <v>21</v>
      </c>
      <c r="B166" s="6" t="s">
        <v>121</v>
      </c>
      <c r="C166" s="6" t="s">
        <v>221</v>
      </c>
      <c r="D166" s="6" t="n">
        <v>445</v>
      </c>
      <c r="E166" s="6" t="n">
        <v>44.1</v>
      </c>
    </row>
    <row r="167" customFormat="false" ht="15" hidden="false" customHeight="false" outlineLevel="0" collapsed="false">
      <c r="A167" s="6" t="s">
        <v>21</v>
      </c>
      <c r="B167" s="6" t="s">
        <v>123</v>
      </c>
      <c r="C167" s="6" t="s">
        <v>222</v>
      </c>
      <c r="D167" s="6" t="n">
        <v>666</v>
      </c>
      <c r="E167" s="6" t="n">
        <v>66.1</v>
      </c>
    </row>
    <row r="168" customFormat="false" ht="15" hidden="false" customHeight="false" outlineLevel="0" collapsed="false">
      <c r="A168" s="6" t="s">
        <v>21</v>
      </c>
      <c r="B168" s="6" t="s">
        <v>123</v>
      </c>
      <c r="C168" s="6" t="s">
        <v>223</v>
      </c>
      <c r="D168" s="6" t="n">
        <v>342</v>
      </c>
      <c r="E168" s="6" t="n">
        <v>33.9</v>
      </c>
    </row>
    <row r="169" customFormat="false" ht="15" hidden="false" customHeight="false" outlineLevel="0" collapsed="false">
      <c r="A169" s="6" t="s">
        <v>21</v>
      </c>
      <c r="B169" s="6" t="s">
        <v>125</v>
      </c>
      <c r="C169" s="6" t="s">
        <v>224</v>
      </c>
      <c r="D169" s="6" t="n">
        <v>1008</v>
      </c>
      <c r="E169" s="6" t="n">
        <v>100</v>
      </c>
    </row>
    <row r="170" customFormat="false" ht="15" hidden="false" customHeight="false" outlineLevel="0" collapsed="false">
      <c r="A170" s="6" t="s">
        <v>21</v>
      </c>
      <c r="B170" s="6" t="s">
        <v>115</v>
      </c>
      <c r="C170" s="6" t="s">
        <v>220</v>
      </c>
      <c r="D170" s="6" t="n">
        <v>930</v>
      </c>
      <c r="E170" s="6" t="n">
        <v>92.3</v>
      </c>
    </row>
    <row r="171" customFormat="false" ht="15" hidden="false" customHeight="false" outlineLevel="0" collapsed="false">
      <c r="A171" s="6" t="s">
        <v>21</v>
      </c>
      <c r="B171" s="6" t="s">
        <v>115</v>
      </c>
      <c r="C171" s="6" t="s">
        <v>221</v>
      </c>
      <c r="D171" s="6" t="n">
        <v>78</v>
      </c>
      <c r="E171" s="6" t="n">
        <v>7.7</v>
      </c>
    </row>
    <row r="172" customFormat="false" ht="15" hidden="false" customHeight="false" outlineLevel="0" collapsed="false">
      <c r="A172" s="6" t="s">
        <v>21</v>
      </c>
      <c r="B172" s="6" t="s">
        <v>117</v>
      </c>
      <c r="C172" s="6" t="s">
        <v>220</v>
      </c>
      <c r="D172" s="6" t="n">
        <v>680</v>
      </c>
      <c r="E172" s="6" t="n">
        <v>67.5</v>
      </c>
    </row>
    <row r="173" customFormat="false" ht="15" hidden="false" customHeight="false" outlineLevel="0" collapsed="false">
      <c r="A173" s="6" t="s">
        <v>21</v>
      </c>
      <c r="B173" s="6" t="s">
        <v>117</v>
      </c>
      <c r="C173" s="6" t="s">
        <v>221</v>
      </c>
      <c r="D173" s="6" t="n">
        <v>328</v>
      </c>
      <c r="E173" s="6" t="n">
        <v>32.5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2"/>
    <col collapsed="false" customWidth="true" hidden="false" outlineLevel="0" max="2" min="2" style="0" width="26"/>
    <col collapsed="false" customWidth="true" hidden="false" outlineLevel="0" max="11" min="3" style="0" width="10"/>
  </cols>
  <sheetData>
    <row r="1" customFormat="false" ht="15" hidden="false" customHeight="false" outlineLevel="0" collapsed="false">
      <c r="A1" s="5" t="s">
        <v>53</v>
      </c>
      <c r="B1" s="5" t="s">
        <v>69</v>
      </c>
      <c r="C1" s="5" t="s">
        <v>71</v>
      </c>
      <c r="D1" s="5" t="s">
        <v>73</v>
      </c>
      <c r="E1" s="5" t="s">
        <v>225</v>
      </c>
      <c r="F1" s="5" t="s">
        <v>226</v>
      </c>
      <c r="G1" s="5" t="s">
        <v>227</v>
      </c>
      <c r="H1" s="5" t="s">
        <v>74</v>
      </c>
      <c r="I1" s="5" t="s">
        <v>75</v>
      </c>
      <c r="J1" s="5" t="s">
        <v>228</v>
      </c>
      <c r="K1" s="5" t="s">
        <v>229</v>
      </c>
    </row>
    <row r="2" customFormat="false" ht="15" hidden="false" customHeight="false" outlineLevel="0" collapsed="false">
      <c r="A2" s="6" t="s">
        <v>19</v>
      </c>
      <c r="B2" s="6" t="s">
        <v>84</v>
      </c>
      <c r="C2" s="6" t="n">
        <v>1000</v>
      </c>
      <c r="D2" s="6" t="n">
        <v>18</v>
      </c>
      <c r="E2" s="6" t="n">
        <v>23</v>
      </c>
      <c r="F2" s="6" t="n">
        <v>28</v>
      </c>
      <c r="G2" s="6" t="n">
        <v>33</v>
      </c>
      <c r="H2" s="6" t="n">
        <v>38</v>
      </c>
      <c r="I2" s="6" t="n">
        <v>28.04</v>
      </c>
      <c r="J2" s="6" t="n">
        <v>0</v>
      </c>
      <c r="K2" s="6" t="n">
        <v>0</v>
      </c>
    </row>
    <row r="3" customFormat="false" ht="15" hidden="false" customHeight="false" outlineLevel="0" collapsed="false">
      <c r="A3" s="6" t="s">
        <v>19</v>
      </c>
      <c r="B3" s="6" t="s">
        <v>110</v>
      </c>
      <c r="C3" s="6" t="n">
        <v>1000</v>
      </c>
      <c r="D3" s="6" t="n">
        <v>0</v>
      </c>
      <c r="E3" s="6" t="n">
        <v>5</v>
      </c>
      <c r="F3" s="6" t="n">
        <v>9</v>
      </c>
      <c r="G3" s="6" t="n">
        <v>18</v>
      </c>
      <c r="H3" s="6" t="n">
        <v>81</v>
      </c>
      <c r="I3" s="6" t="n">
        <v>12.87</v>
      </c>
      <c r="J3" s="6" t="n">
        <v>30</v>
      </c>
      <c r="K3" s="6" t="n">
        <v>0</v>
      </c>
    </row>
    <row r="4" customFormat="false" ht="15" hidden="false" customHeight="false" outlineLevel="0" collapsed="false">
      <c r="A4" s="6" t="s">
        <v>19</v>
      </c>
      <c r="B4" s="6" t="s">
        <v>111</v>
      </c>
      <c r="C4" s="6" t="n">
        <v>1000</v>
      </c>
      <c r="D4" s="6" t="n">
        <v>0</v>
      </c>
      <c r="E4" s="6" t="n">
        <v>3</v>
      </c>
      <c r="F4" s="6" t="n">
        <v>6</v>
      </c>
      <c r="G4" s="6" t="n">
        <v>11</v>
      </c>
      <c r="H4" s="6" t="n">
        <v>32</v>
      </c>
      <c r="I4" s="6" t="n">
        <v>7.73</v>
      </c>
      <c r="J4" s="6" t="n">
        <v>121</v>
      </c>
      <c r="K4" s="6" t="n">
        <v>0</v>
      </c>
    </row>
    <row r="5" customFormat="false" ht="15" hidden="false" customHeight="false" outlineLevel="0" collapsed="false">
      <c r="A5" s="6" t="s">
        <v>19</v>
      </c>
      <c r="B5" s="6" t="s">
        <v>112</v>
      </c>
      <c r="C5" s="6" t="n">
        <v>1000</v>
      </c>
      <c r="D5" s="6" t="n">
        <v>5</v>
      </c>
      <c r="E5" s="6" t="n">
        <v>109</v>
      </c>
      <c r="F5" s="6" t="n">
        <v>191.5</v>
      </c>
      <c r="G5" s="6" t="n">
        <v>305.75</v>
      </c>
      <c r="H5" s="6" t="n">
        <v>1156</v>
      </c>
      <c r="I5" s="6" t="n">
        <v>231.89</v>
      </c>
      <c r="J5" s="6" t="n">
        <v>0</v>
      </c>
      <c r="K5" s="6" t="n">
        <v>0</v>
      </c>
    </row>
    <row r="6" customFormat="false" ht="15" hidden="false" customHeight="false" outlineLevel="0" collapsed="false">
      <c r="A6" s="6" t="s">
        <v>19</v>
      </c>
      <c r="B6" s="6" t="s">
        <v>114</v>
      </c>
      <c r="C6" s="6" t="n">
        <v>1000</v>
      </c>
      <c r="D6" s="6" t="n">
        <v>-0.8</v>
      </c>
      <c r="E6" s="6" t="n">
        <v>39.875</v>
      </c>
      <c r="F6" s="6" t="n">
        <v>79.4</v>
      </c>
      <c r="G6" s="6" t="n">
        <v>124.575</v>
      </c>
      <c r="H6" s="6" t="n">
        <v>166.9</v>
      </c>
      <c r="I6" s="6" t="n">
        <v>81.33</v>
      </c>
      <c r="J6" s="6" t="n">
        <v>1</v>
      </c>
      <c r="K6" s="6" t="n">
        <v>4</v>
      </c>
    </row>
    <row r="7" customFormat="false" ht="15" hidden="false" customHeight="false" outlineLevel="0" collapsed="false">
      <c r="A7" s="6" t="s">
        <v>21</v>
      </c>
      <c r="B7" s="6" t="s">
        <v>84</v>
      </c>
      <c r="C7" s="6" t="n">
        <v>1007</v>
      </c>
      <c r="D7" s="6" t="n">
        <v>18</v>
      </c>
      <c r="E7" s="6" t="n">
        <v>23</v>
      </c>
      <c r="F7" s="6" t="n">
        <v>28</v>
      </c>
      <c r="G7" s="6" t="n">
        <v>33</v>
      </c>
      <c r="H7" s="6" t="n">
        <v>38</v>
      </c>
      <c r="I7" s="6" t="n">
        <v>28.05</v>
      </c>
      <c r="J7" s="6" t="n">
        <v>0</v>
      </c>
      <c r="K7" s="6" t="n">
        <v>0</v>
      </c>
    </row>
    <row r="8" customFormat="false" ht="15" hidden="false" customHeight="false" outlineLevel="0" collapsed="false">
      <c r="A8" s="6" t="s">
        <v>21</v>
      </c>
      <c r="B8" s="6" t="s">
        <v>110</v>
      </c>
      <c r="C8" s="6" t="n">
        <v>1008</v>
      </c>
      <c r="D8" s="6" t="n">
        <v>0</v>
      </c>
      <c r="E8" s="6" t="n">
        <v>5</v>
      </c>
      <c r="F8" s="6" t="n">
        <v>9</v>
      </c>
      <c r="G8" s="6" t="n">
        <v>18</v>
      </c>
      <c r="H8" s="6" t="n">
        <v>81</v>
      </c>
      <c r="I8" s="6" t="n">
        <v>12.83</v>
      </c>
      <c r="J8" s="6" t="n">
        <v>30</v>
      </c>
      <c r="K8" s="6" t="n">
        <v>0</v>
      </c>
    </row>
    <row r="9" customFormat="false" ht="15" hidden="false" customHeight="false" outlineLevel="0" collapsed="false">
      <c r="A9" s="6" t="s">
        <v>21</v>
      </c>
      <c r="B9" s="6" t="s">
        <v>111</v>
      </c>
      <c r="C9" s="6" t="n">
        <v>1008</v>
      </c>
      <c r="D9" s="6" t="n">
        <v>0</v>
      </c>
      <c r="E9" s="6" t="n">
        <v>3</v>
      </c>
      <c r="F9" s="6" t="n">
        <v>6</v>
      </c>
      <c r="G9" s="6" t="n">
        <v>11</v>
      </c>
      <c r="H9" s="6" t="n">
        <v>32</v>
      </c>
      <c r="I9" s="6" t="n">
        <v>7.71</v>
      </c>
      <c r="J9" s="6" t="n">
        <v>122</v>
      </c>
      <c r="K9" s="6" t="n">
        <v>0</v>
      </c>
    </row>
    <row r="10" customFormat="false" ht="15" hidden="false" customHeight="false" outlineLevel="0" collapsed="false">
      <c r="A10" s="6" t="s">
        <v>21</v>
      </c>
      <c r="B10" s="6" t="s">
        <v>112</v>
      </c>
      <c r="C10" s="6" t="n">
        <v>1008</v>
      </c>
      <c r="D10" s="6" t="n">
        <v>5</v>
      </c>
      <c r="E10" s="6" t="n">
        <v>108.75</v>
      </c>
      <c r="F10" s="6" t="n">
        <v>191</v>
      </c>
      <c r="G10" s="6" t="n">
        <v>305.75</v>
      </c>
      <c r="H10" s="6" t="n">
        <v>1156</v>
      </c>
      <c r="I10" s="6" t="n">
        <v>231.79</v>
      </c>
      <c r="J10" s="6" t="n">
        <v>0</v>
      </c>
      <c r="K10" s="6" t="n">
        <v>0</v>
      </c>
    </row>
    <row r="11" customFormat="false" ht="15" hidden="false" customHeight="false" outlineLevel="0" collapsed="false">
      <c r="A11" s="6" t="s">
        <v>21</v>
      </c>
      <c r="B11" s="6" t="s">
        <v>114</v>
      </c>
      <c r="C11" s="6" t="n">
        <v>1008</v>
      </c>
      <c r="D11" s="6" t="n">
        <v>-0.8</v>
      </c>
      <c r="E11" s="6" t="n">
        <v>40.05</v>
      </c>
      <c r="F11" s="6" t="n">
        <v>79.4</v>
      </c>
      <c r="G11" s="6" t="n">
        <v>124.5</v>
      </c>
      <c r="H11" s="6" t="n">
        <v>166.9</v>
      </c>
      <c r="I11" s="6" t="n">
        <v>81.39</v>
      </c>
      <c r="J11" s="6" t="n">
        <v>1</v>
      </c>
      <c r="K11" s="6" t="n">
        <v>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2"/>
    <col collapsed="false" customWidth="true" hidden="false" outlineLevel="0" max="2" min="2" style="0" width="12"/>
    <col collapsed="false" customWidth="true" hidden="false" outlineLevel="0" max="3" min="3" style="0" width="22"/>
  </cols>
  <sheetData>
    <row r="1" customFormat="false" ht="23.85" hidden="false" customHeight="false" outlineLevel="0" collapsed="false">
      <c r="A1" s="5" t="s">
        <v>53</v>
      </c>
      <c r="B1" s="5" t="s">
        <v>230</v>
      </c>
      <c r="C1" s="5" t="s">
        <v>231</v>
      </c>
    </row>
    <row r="2" customFormat="false" ht="15" hidden="false" customHeight="false" outlineLevel="0" collapsed="false">
      <c r="A2" s="6" t="s">
        <v>19</v>
      </c>
      <c r="B2" s="6" t="s">
        <v>232</v>
      </c>
      <c r="C2" s="6" t="n">
        <v>174</v>
      </c>
    </row>
    <row r="3" customFormat="false" ht="15" hidden="false" customHeight="false" outlineLevel="0" collapsed="false">
      <c r="A3" s="6" t="s">
        <v>19</v>
      </c>
      <c r="B3" s="6" t="s">
        <v>233</v>
      </c>
      <c r="C3" s="6" t="n">
        <v>179</v>
      </c>
    </row>
    <row r="4" customFormat="false" ht="15" hidden="false" customHeight="false" outlineLevel="0" collapsed="false">
      <c r="A4" s="6" t="s">
        <v>19</v>
      </c>
      <c r="B4" s="6" t="s">
        <v>234</v>
      </c>
      <c r="C4" s="6" t="n">
        <v>166</v>
      </c>
    </row>
    <row r="5" customFormat="false" ht="15" hidden="false" customHeight="false" outlineLevel="0" collapsed="false">
      <c r="A5" s="6" t="s">
        <v>19</v>
      </c>
      <c r="B5" s="6" t="s">
        <v>235</v>
      </c>
      <c r="C5" s="6" t="n">
        <v>198</v>
      </c>
    </row>
    <row r="6" customFormat="false" ht="15" hidden="false" customHeight="false" outlineLevel="0" collapsed="false">
      <c r="A6" s="6" t="s">
        <v>19</v>
      </c>
      <c r="B6" s="6" t="s">
        <v>236</v>
      </c>
      <c r="C6" s="6" t="n">
        <v>192</v>
      </c>
    </row>
    <row r="7" customFormat="false" ht="15" hidden="false" customHeight="false" outlineLevel="0" collapsed="false">
      <c r="A7" s="6" t="s">
        <v>19</v>
      </c>
      <c r="B7" s="6" t="s">
        <v>237</v>
      </c>
      <c r="C7" s="6" t="n">
        <v>91</v>
      </c>
    </row>
    <row r="8" customFormat="false" ht="15" hidden="false" customHeight="false" outlineLevel="0" collapsed="false">
      <c r="A8" s="6" t="s">
        <v>21</v>
      </c>
      <c r="B8" s="6" t="s">
        <v>232</v>
      </c>
      <c r="C8" s="6" t="n">
        <v>174</v>
      </c>
    </row>
    <row r="9" customFormat="false" ht="15" hidden="false" customHeight="false" outlineLevel="0" collapsed="false">
      <c r="A9" s="6" t="s">
        <v>21</v>
      </c>
      <c r="B9" s="6" t="s">
        <v>233</v>
      </c>
      <c r="C9" s="6" t="n">
        <v>178</v>
      </c>
    </row>
    <row r="10" customFormat="false" ht="15" hidden="false" customHeight="false" outlineLevel="0" collapsed="false">
      <c r="A10" s="6" t="s">
        <v>21</v>
      </c>
      <c r="B10" s="6" t="s">
        <v>234</v>
      </c>
      <c r="C10" s="6" t="n">
        <v>166</v>
      </c>
    </row>
    <row r="11" customFormat="false" ht="15" hidden="false" customHeight="false" outlineLevel="0" collapsed="false">
      <c r="A11" s="6" t="s">
        <v>21</v>
      </c>
      <c r="B11" s="6" t="s">
        <v>235</v>
      </c>
      <c r="C11" s="6" t="n">
        <v>198</v>
      </c>
    </row>
    <row r="12" customFormat="false" ht="15" hidden="false" customHeight="false" outlineLevel="0" collapsed="false">
      <c r="A12" s="6" t="s">
        <v>21</v>
      </c>
      <c r="B12" s="6" t="s">
        <v>236</v>
      </c>
      <c r="C12" s="6" t="n">
        <v>191</v>
      </c>
    </row>
    <row r="13" customFormat="false" ht="15" hidden="false" customHeight="false" outlineLevel="0" collapsed="false">
      <c r="A13" s="6" t="s">
        <v>21</v>
      </c>
      <c r="B13" s="6" t="s">
        <v>237</v>
      </c>
      <c r="C13" s="6" t="n">
        <v>91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9"/>
    <col collapsed="false" customWidth="true" hidden="false" outlineLevel="0" max="2" min="2" style="0" width="70"/>
    <col collapsed="false" customWidth="true" hidden="false" outlineLevel="0" max="3" min="3" style="0" width="14"/>
    <col collapsed="false" customWidth="true" hidden="false" outlineLevel="0" max="4" min="4" style="0" width="90"/>
  </cols>
  <sheetData>
    <row r="1" customFormat="false" ht="15" hidden="false" customHeight="false" outlineLevel="0" collapsed="false">
      <c r="A1" s="5" t="s">
        <v>238</v>
      </c>
      <c r="B1" s="5" t="s">
        <v>239</v>
      </c>
      <c r="C1" s="5" t="s">
        <v>30</v>
      </c>
      <c r="D1" s="5" t="s">
        <v>240</v>
      </c>
    </row>
    <row r="2" customFormat="false" ht="15" hidden="false" customHeight="false" outlineLevel="0" collapsed="false">
      <c r="A2" s="6" t="s">
        <v>241</v>
      </c>
      <c r="B2" s="6" t="s">
        <v>242</v>
      </c>
      <c r="C2" s="7" t="s">
        <v>243</v>
      </c>
      <c r="D2" s="6" t="s">
        <v>244</v>
      </c>
    </row>
    <row r="3" customFormat="false" ht="15" hidden="false" customHeight="false" outlineLevel="0" collapsed="false">
      <c r="A3" s="6" t="s">
        <v>245</v>
      </c>
      <c r="B3" s="6" t="s">
        <v>246</v>
      </c>
      <c r="C3" s="8" t="s">
        <v>247</v>
      </c>
      <c r="D3" s="6" t="s">
        <v>248</v>
      </c>
    </row>
    <row r="4" customFormat="false" ht="15" hidden="false" customHeight="false" outlineLevel="0" collapsed="false">
      <c r="A4" s="6" t="s">
        <v>249</v>
      </c>
      <c r="B4" s="6" t="s">
        <v>250</v>
      </c>
      <c r="C4" s="7" t="s">
        <v>243</v>
      </c>
      <c r="D4" s="6" t="s">
        <v>251</v>
      </c>
    </row>
    <row r="5" customFormat="false" ht="15" hidden="false" customHeight="false" outlineLevel="0" collapsed="false">
      <c r="A5" s="6" t="s">
        <v>252</v>
      </c>
      <c r="B5" s="6" t="s">
        <v>253</v>
      </c>
      <c r="C5" s="7" t="s">
        <v>243</v>
      </c>
      <c r="D5" s="6" t="s">
        <v>254</v>
      </c>
    </row>
    <row r="6" customFormat="false" ht="15" hidden="false" customHeight="false" outlineLevel="0" collapsed="false">
      <c r="A6" s="6" t="s">
        <v>255</v>
      </c>
      <c r="B6" s="6" t="s">
        <v>256</v>
      </c>
      <c r="C6" s="7" t="s">
        <v>243</v>
      </c>
      <c r="D6" s="6" t="s">
        <v>257</v>
      </c>
    </row>
    <row r="7" customFormat="false" ht="15" hidden="false" customHeight="false" outlineLevel="0" collapsed="false">
      <c r="A7" s="6" t="s">
        <v>258</v>
      </c>
      <c r="B7" s="6" t="s">
        <v>259</v>
      </c>
      <c r="C7" s="7" t="s">
        <v>243</v>
      </c>
      <c r="D7" s="6" t="s">
        <v>260</v>
      </c>
    </row>
    <row r="8" customFormat="false" ht="15" hidden="false" customHeight="false" outlineLevel="0" collapsed="false">
      <c r="A8" s="6" t="s">
        <v>261</v>
      </c>
      <c r="B8" s="6" t="s">
        <v>262</v>
      </c>
      <c r="C8" s="7" t="s">
        <v>243</v>
      </c>
      <c r="D8" s="6" t="s">
        <v>263</v>
      </c>
    </row>
    <row r="9" customFormat="false" ht="15" hidden="false" customHeight="false" outlineLevel="0" collapsed="false">
      <c r="A9" s="6" t="s">
        <v>264</v>
      </c>
      <c r="B9" s="6" t="s">
        <v>265</v>
      </c>
      <c r="C9" s="7" t="s">
        <v>243</v>
      </c>
      <c r="D9" s="6" t="s">
        <v>266</v>
      </c>
    </row>
    <row r="10" customFormat="false" ht="23.85" hidden="false" customHeight="false" outlineLevel="0" collapsed="false">
      <c r="A10" s="6" t="s">
        <v>267</v>
      </c>
      <c r="B10" s="6" t="s">
        <v>268</v>
      </c>
      <c r="C10" s="8" t="s">
        <v>247</v>
      </c>
      <c r="D10" s="6" t="s">
        <v>269</v>
      </c>
    </row>
    <row r="11" customFormat="false" ht="15" hidden="false" customHeight="false" outlineLevel="0" collapsed="false">
      <c r="A11" s="6" t="s">
        <v>270</v>
      </c>
      <c r="B11" s="6" t="s">
        <v>271</v>
      </c>
      <c r="C11" s="10" t="s">
        <v>272</v>
      </c>
      <c r="D11" s="6" t="s">
        <v>273</v>
      </c>
    </row>
    <row r="12" customFormat="false" ht="15" hidden="false" customHeight="false" outlineLevel="0" collapsed="false">
      <c r="A12" s="6" t="s">
        <v>274</v>
      </c>
      <c r="B12" s="6" t="s">
        <v>275</v>
      </c>
      <c r="C12" s="10" t="s">
        <v>272</v>
      </c>
      <c r="D12" s="6" t="s">
        <v>276</v>
      </c>
    </row>
    <row r="13" customFormat="false" ht="15" hidden="false" customHeight="false" outlineLevel="0" collapsed="false">
      <c r="A13" s="6" t="s">
        <v>277</v>
      </c>
      <c r="B13" s="6" t="s">
        <v>278</v>
      </c>
      <c r="C13" s="10" t="s">
        <v>272</v>
      </c>
      <c r="D13" s="6" t="s">
        <v>279</v>
      </c>
    </row>
    <row r="14" customFormat="false" ht="15" hidden="false" customHeight="false" outlineLevel="0" collapsed="false">
      <c r="A14" s="6" t="s">
        <v>280</v>
      </c>
      <c r="B14" s="6" t="s">
        <v>281</v>
      </c>
      <c r="C14" s="10" t="s">
        <v>272</v>
      </c>
      <c r="D14" s="6" t="s">
        <v>282</v>
      </c>
    </row>
    <row r="15" customFormat="false" ht="15" hidden="false" customHeight="false" outlineLevel="0" collapsed="false">
      <c r="A15" s="6" t="s">
        <v>283</v>
      </c>
      <c r="B15" s="6" t="s">
        <v>284</v>
      </c>
      <c r="C15" s="10" t="s">
        <v>272</v>
      </c>
      <c r="D15" s="6" t="s">
        <v>285</v>
      </c>
    </row>
    <row r="16" customFormat="false" ht="15" hidden="false" customHeight="false" outlineLevel="0" collapsed="false">
      <c r="A16" s="6" t="s">
        <v>286</v>
      </c>
      <c r="B16" s="6" t="s">
        <v>287</v>
      </c>
      <c r="C16" s="10" t="s">
        <v>272</v>
      </c>
      <c r="D16" s="6" t="s">
        <v>288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5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16"/>
    <col collapsed="false" customWidth="true" hidden="false" outlineLevel="0" max="3" min="3" style="0" width="30"/>
    <col collapsed="false" customWidth="true" hidden="false" outlineLevel="0" max="4" min="4" style="0" width="40"/>
    <col collapsed="false" customWidth="true" hidden="false" outlineLevel="0" max="5" min="5" style="0" width="36"/>
    <col collapsed="false" customWidth="true" hidden="false" outlineLevel="0" max="6" min="6" style="0" width="34"/>
    <col collapsed="false" customWidth="true" hidden="false" outlineLevel="0" max="7" min="7" style="0" width="16"/>
    <col collapsed="false" customWidth="true" hidden="false" outlineLevel="0" max="8" min="8" style="0" width="60"/>
    <col collapsed="false" customWidth="true" hidden="false" outlineLevel="0" max="9" min="9" style="0" width="44"/>
    <col collapsed="false" customWidth="true" hidden="false" outlineLevel="0" max="10" min="10" style="0" width="56"/>
  </cols>
  <sheetData>
    <row r="1" customFormat="false" ht="15" hidden="false" customHeight="false" outlineLevel="0" collapsed="false">
      <c r="A1" s="5" t="s">
        <v>289</v>
      </c>
      <c r="B1" s="5" t="s">
        <v>290</v>
      </c>
      <c r="C1" s="5" t="s">
        <v>291</v>
      </c>
      <c r="D1" s="5" t="s">
        <v>292</v>
      </c>
      <c r="E1" s="5" t="s">
        <v>293</v>
      </c>
      <c r="F1" s="5" t="s">
        <v>294</v>
      </c>
      <c r="G1" s="5" t="s">
        <v>295</v>
      </c>
      <c r="H1" s="5" t="s">
        <v>296</v>
      </c>
      <c r="I1" s="5" t="s">
        <v>297</v>
      </c>
      <c r="J1" s="5" t="s">
        <v>298</v>
      </c>
    </row>
    <row r="2" customFormat="false" ht="23.85" hidden="false" customHeight="false" outlineLevel="0" collapsed="false">
      <c r="A2" s="6" t="s">
        <v>299</v>
      </c>
      <c r="B2" s="6" t="s">
        <v>300</v>
      </c>
      <c r="C2" s="6" t="s">
        <v>301</v>
      </c>
      <c r="D2" s="6" t="s">
        <v>302</v>
      </c>
      <c r="E2" s="6" t="s">
        <v>303</v>
      </c>
      <c r="F2" s="6" t="s">
        <v>304</v>
      </c>
      <c r="G2" s="7" t="s">
        <v>9</v>
      </c>
      <c r="H2" s="6" t="s">
        <v>305</v>
      </c>
      <c r="I2" s="6" t="s">
        <v>306</v>
      </c>
      <c r="J2" s="6" t="s">
        <v>307</v>
      </c>
    </row>
    <row r="3" customFormat="false" ht="23.85" hidden="false" customHeight="false" outlineLevel="0" collapsed="false">
      <c r="A3" s="6" t="s">
        <v>308</v>
      </c>
      <c r="B3" s="6" t="s">
        <v>300</v>
      </c>
      <c r="C3" s="6" t="s">
        <v>309</v>
      </c>
      <c r="D3" s="6" t="s">
        <v>310</v>
      </c>
      <c r="E3" s="6" t="s">
        <v>78</v>
      </c>
      <c r="F3" s="6" t="s">
        <v>311</v>
      </c>
      <c r="G3" s="8" t="s">
        <v>11</v>
      </c>
      <c r="H3" s="6" t="s">
        <v>312</v>
      </c>
      <c r="I3" s="6" t="s">
        <v>313</v>
      </c>
      <c r="J3" s="6"/>
    </row>
    <row r="4" customFormat="false" ht="35.05" hidden="false" customHeight="false" outlineLevel="0" collapsed="false">
      <c r="A4" s="6" t="s">
        <v>314</v>
      </c>
      <c r="B4" s="6" t="s">
        <v>300</v>
      </c>
      <c r="C4" s="6" t="s">
        <v>315</v>
      </c>
      <c r="D4" s="6" t="s">
        <v>310</v>
      </c>
      <c r="E4" s="6" t="s">
        <v>78</v>
      </c>
      <c r="F4" s="6" t="s">
        <v>311</v>
      </c>
      <c r="G4" s="9" t="s">
        <v>10</v>
      </c>
      <c r="H4" s="6" t="s">
        <v>316</v>
      </c>
      <c r="I4" s="6" t="s">
        <v>317</v>
      </c>
      <c r="J4" s="6" t="s">
        <v>318</v>
      </c>
    </row>
    <row r="5" customFormat="false" ht="23.85" hidden="false" customHeight="false" outlineLevel="0" collapsed="false">
      <c r="A5" s="6" t="s">
        <v>319</v>
      </c>
      <c r="B5" s="6" t="s">
        <v>300</v>
      </c>
      <c r="C5" s="6" t="s">
        <v>320</v>
      </c>
      <c r="D5" s="6" t="s">
        <v>310</v>
      </c>
      <c r="E5" s="6" t="s">
        <v>78</v>
      </c>
      <c r="F5" s="6" t="s">
        <v>311</v>
      </c>
      <c r="G5" s="9" t="s">
        <v>10</v>
      </c>
      <c r="H5" s="6" t="s">
        <v>321</v>
      </c>
      <c r="I5" s="6" t="s">
        <v>322</v>
      </c>
      <c r="J5" s="6" t="s">
        <v>323</v>
      </c>
    </row>
    <row r="6" customFormat="false" ht="23.85" hidden="false" customHeight="false" outlineLevel="0" collapsed="false">
      <c r="A6" s="6" t="s">
        <v>324</v>
      </c>
      <c r="B6" s="6" t="s">
        <v>300</v>
      </c>
      <c r="C6" s="6" t="s">
        <v>325</v>
      </c>
      <c r="D6" s="6" t="s">
        <v>326</v>
      </c>
      <c r="E6" s="6" t="s">
        <v>78</v>
      </c>
      <c r="F6" s="6" t="s">
        <v>327</v>
      </c>
      <c r="G6" s="8" t="s">
        <v>11</v>
      </c>
      <c r="H6" s="6" t="s">
        <v>328</v>
      </c>
      <c r="I6" s="6" t="s">
        <v>329</v>
      </c>
      <c r="J6" s="6"/>
    </row>
    <row r="7" customFormat="false" ht="23.85" hidden="false" customHeight="false" outlineLevel="0" collapsed="false">
      <c r="A7" s="6" t="s">
        <v>330</v>
      </c>
      <c r="B7" s="6" t="s">
        <v>300</v>
      </c>
      <c r="C7" s="6" t="s">
        <v>331</v>
      </c>
      <c r="D7" s="6" t="s">
        <v>332</v>
      </c>
      <c r="E7" s="6" t="s">
        <v>333</v>
      </c>
      <c r="F7" s="6" t="s">
        <v>334</v>
      </c>
      <c r="G7" s="9" t="s">
        <v>10</v>
      </c>
      <c r="H7" s="6" t="s">
        <v>335</v>
      </c>
      <c r="I7" s="6" t="s">
        <v>336</v>
      </c>
      <c r="J7" s="6" t="s">
        <v>337</v>
      </c>
    </row>
    <row r="8" customFormat="false" ht="35.05" hidden="false" customHeight="false" outlineLevel="0" collapsed="false">
      <c r="A8" s="6" t="s">
        <v>338</v>
      </c>
      <c r="B8" s="6" t="s">
        <v>300</v>
      </c>
      <c r="C8" s="6" t="s">
        <v>339</v>
      </c>
      <c r="D8" s="6" t="s">
        <v>340</v>
      </c>
      <c r="E8" s="6" t="s">
        <v>341</v>
      </c>
      <c r="F8" s="6" t="s">
        <v>342</v>
      </c>
      <c r="G8" s="9" t="s">
        <v>10</v>
      </c>
      <c r="H8" s="6" t="s">
        <v>343</v>
      </c>
      <c r="I8" s="6" t="s">
        <v>344</v>
      </c>
      <c r="J8" s="6" t="s">
        <v>345</v>
      </c>
    </row>
    <row r="9" customFormat="false" ht="23.85" hidden="false" customHeight="false" outlineLevel="0" collapsed="false">
      <c r="A9" s="6" t="s">
        <v>346</v>
      </c>
      <c r="B9" s="6" t="s">
        <v>300</v>
      </c>
      <c r="C9" s="6" t="s">
        <v>347</v>
      </c>
      <c r="D9" s="6" t="s">
        <v>348</v>
      </c>
      <c r="E9" s="6" t="s">
        <v>303</v>
      </c>
      <c r="F9" s="6" t="s">
        <v>349</v>
      </c>
      <c r="G9" s="8" t="s">
        <v>11</v>
      </c>
      <c r="H9" s="6" t="s">
        <v>350</v>
      </c>
      <c r="I9" s="6" t="s">
        <v>351</v>
      </c>
      <c r="J9" s="6"/>
    </row>
    <row r="10" customFormat="false" ht="23.85" hidden="false" customHeight="false" outlineLevel="0" collapsed="false">
      <c r="A10" s="6" t="s">
        <v>352</v>
      </c>
      <c r="B10" s="6" t="s">
        <v>300</v>
      </c>
      <c r="C10" s="6" t="s">
        <v>353</v>
      </c>
      <c r="D10" s="6" t="s">
        <v>354</v>
      </c>
      <c r="E10" s="6" t="s">
        <v>333</v>
      </c>
      <c r="F10" s="6" t="s">
        <v>304</v>
      </c>
      <c r="G10" s="7" t="s">
        <v>9</v>
      </c>
      <c r="H10" s="6" t="s">
        <v>305</v>
      </c>
      <c r="I10" s="6" t="s">
        <v>306</v>
      </c>
      <c r="J10" s="6" t="s">
        <v>355</v>
      </c>
    </row>
    <row r="11" customFormat="false" ht="23.85" hidden="false" customHeight="false" outlineLevel="0" collapsed="false">
      <c r="A11" s="6" t="s">
        <v>356</v>
      </c>
      <c r="B11" s="6" t="s">
        <v>300</v>
      </c>
      <c r="C11" s="6" t="s">
        <v>357</v>
      </c>
      <c r="D11" s="6" t="s">
        <v>310</v>
      </c>
      <c r="E11" s="6" t="s">
        <v>78</v>
      </c>
      <c r="F11" s="6" t="s">
        <v>311</v>
      </c>
      <c r="G11" s="8" t="s">
        <v>11</v>
      </c>
      <c r="H11" s="6" t="s">
        <v>358</v>
      </c>
      <c r="I11" s="6" t="s">
        <v>359</v>
      </c>
      <c r="J11" s="6"/>
    </row>
    <row r="12" customFormat="false" ht="23.85" hidden="false" customHeight="false" outlineLevel="0" collapsed="false">
      <c r="A12" s="6" t="s">
        <v>360</v>
      </c>
      <c r="B12" s="6" t="s">
        <v>361</v>
      </c>
      <c r="C12" s="6" t="s">
        <v>362</v>
      </c>
      <c r="D12" s="6" t="s">
        <v>363</v>
      </c>
      <c r="E12" s="6" t="s">
        <v>78</v>
      </c>
      <c r="F12" s="6" t="s">
        <v>364</v>
      </c>
      <c r="G12" s="8" t="s">
        <v>11</v>
      </c>
      <c r="H12" s="6" t="s">
        <v>365</v>
      </c>
      <c r="I12" s="6" t="s">
        <v>366</v>
      </c>
      <c r="J12" s="6"/>
    </row>
    <row r="13" customFormat="false" ht="23.85" hidden="false" customHeight="false" outlineLevel="0" collapsed="false">
      <c r="A13" s="6" t="s">
        <v>367</v>
      </c>
      <c r="B13" s="6" t="s">
        <v>361</v>
      </c>
      <c r="C13" s="6" t="s">
        <v>368</v>
      </c>
      <c r="D13" s="6" t="s">
        <v>363</v>
      </c>
      <c r="E13" s="6" t="s">
        <v>78</v>
      </c>
      <c r="F13" s="6" t="s">
        <v>364</v>
      </c>
      <c r="G13" s="8" t="s">
        <v>11</v>
      </c>
      <c r="H13" s="6" t="s">
        <v>365</v>
      </c>
      <c r="I13" s="6" t="s">
        <v>366</v>
      </c>
      <c r="J13" s="6"/>
    </row>
    <row r="14" customFormat="false" ht="23.85" hidden="false" customHeight="false" outlineLevel="0" collapsed="false">
      <c r="A14" s="6" t="s">
        <v>369</v>
      </c>
      <c r="B14" s="6" t="s">
        <v>361</v>
      </c>
      <c r="C14" s="6" t="s">
        <v>370</v>
      </c>
      <c r="D14" s="6" t="s">
        <v>371</v>
      </c>
      <c r="E14" s="6" t="s">
        <v>304</v>
      </c>
      <c r="F14" s="6" t="s">
        <v>371</v>
      </c>
      <c r="G14" s="8" t="s">
        <v>11</v>
      </c>
      <c r="H14" s="6" t="s">
        <v>365</v>
      </c>
      <c r="I14" s="6" t="s">
        <v>366</v>
      </c>
      <c r="J14" s="6"/>
    </row>
    <row r="15" customFormat="false" ht="23.85" hidden="false" customHeight="false" outlineLevel="0" collapsed="false">
      <c r="A15" s="6" t="s">
        <v>372</v>
      </c>
      <c r="B15" s="6" t="s">
        <v>361</v>
      </c>
      <c r="C15" s="6" t="s">
        <v>373</v>
      </c>
      <c r="D15" s="6" t="s">
        <v>374</v>
      </c>
      <c r="E15" s="6" t="s">
        <v>304</v>
      </c>
      <c r="F15" s="6" t="s">
        <v>374</v>
      </c>
      <c r="G15" s="8" t="s">
        <v>11</v>
      </c>
      <c r="H15" s="6" t="s">
        <v>365</v>
      </c>
      <c r="I15" s="6" t="s">
        <v>366</v>
      </c>
      <c r="J15" s="6"/>
    </row>
    <row r="16" customFormat="false" ht="23.85" hidden="false" customHeight="false" outlineLevel="0" collapsed="false">
      <c r="A16" s="6" t="s">
        <v>375</v>
      </c>
      <c r="B16" s="6" t="s">
        <v>361</v>
      </c>
      <c r="C16" s="6" t="s">
        <v>376</v>
      </c>
      <c r="D16" s="6" t="s">
        <v>377</v>
      </c>
      <c r="E16" s="6" t="s">
        <v>304</v>
      </c>
      <c r="F16" s="6" t="s">
        <v>377</v>
      </c>
      <c r="G16" s="8" t="s">
        <v>11</v>
      </c>
      <c r="H16" s="6" t="s">
        <v>365</v>
      </c>
      <c r="I16" s="6" t="s">
        <v>366</v>
      </c>
      <c r="J16" s="6"/>
    </row>
    <row r="17" customFormat="false" ht="23.85" hidden="false" customHeight="false" outlineLevel="0" collapsed="false">
      <c r="A17" s="6" t="s">
        <v>378</v>
      </c>
      <c r="B17" s="6" t="s">
        <v>361</v>
      </c>
      <c r="C17" s="6" t="s">
        <v>379</v>
      </c>
      <c r="D17" s="6" t="s">
        <v>380</v>
      </c>
      <c r="E17" s="6" t="s">
        <v>304</v>
      </c>
      <c r="F17" s="6" t="s">
        <v>380</v>
      </c>
      <c r="G17" s="8" t="s">
        <v>11</v>
      </c>
      <c r="H17" s="6" t="s">
        <v>365</v>
      </c>
      <c r="I17" s="6" t="s">
        <v>366</v>
      </c>
      <c r="J17" s="6"/>
    </row>
    <row r="18" customFormat="false" ht="23.85" hidden="false" customHeight="false" outlineLevel="0" collapsed="false">
      <c r="A18" s="6" t="s">
        <v>381</v>
      </c>
      <c r="B18" s="6" t="s">
        <v>361</v>
      </c>
      <c r="C18" s="6" t="s">
        <v>382</v>
      </c>
      <c r="D18" s="6" t="s">
        <v>383</v>
      </c>
      <c r="E18" s="6" t="s">
        <v>78</v>
      </c>
      <c r="F18" s="6" t="s">
        <v>384</v>
      </c>
      <c r="G18" s="8" t="s">
        <v>11</v>
      </c>
      <c r="H18" s="6" t="s">
        <v>365</v>
      </c>
      <c r="I18" s="6" t="s">
        <v>366</v>
      </c>
      <c r="J18" s="6"/>
    </row>
    <row r="19" customFormat="false" ht="23.85" hidden="false" customHeight="false" outlineLevel="0" collapsed="false">
      <c r="A19" s="6" t="s">
        <v>385</v>
      </c>
      <c r="B19" s="6" t="s">
        <v>361</v>
      </c>
      <c r="C19" s="6" t="s">
        <v>386</v>
      </c>
      <c r="D19" s="6" t="s">
        <v>387</v>
      </c>
      <c r="E19" s="6" t="s">
        <v>78</v>
      </c>
      <c r="F19" s="6" t="s">
        <v>388</v>
      </c>
      <c r="G19" s="8" t="s">
        <v>11</v>
      </c>
      <c r="H19" s="6" t="s">
        <v>365</v>
      </c>
      <c r="I19" s="6" t="s">
        <v>366</v>
      </c>
      <c r="J19" s="6"/>
    </row>
    <row r="20" customFormat="false" ht="23.85" hidden="false" customHeight="false" outlineLevel="0" collapsed="false">
      <c r="A20" s="6" t="s">
        <v>389</v>
      </c>
      <c r="B20" s="6" t="s">
        <v>361</v>
      </c>
      <c r="C20" s="6" t="s">
        <v>390</v>
      </c>
      <c r="D20" s="6" t="s">
        <v>391</v>
      </c>
      <c r="E20" s="6" t="s">
        <v>78</v>
      </c>
      <c r="F20" s="6" t="s">
        <v>392</v>
      </c>
      <c r="G20" s="8" t="s">
        <v>11</v>
      </c>
      <c r="H20" s="6" t="s">
        <v>365</v>
      </c>
      <c r="I20" s="6" t="s">
        <v>366</v>
      </c>
      <c r="J20" s="6"/>
    </row>
    <row r="21" customFormat="false" ht="23.85" hidden="false" customHeight="false" outlineLevel="0" collapsed="false">
      <c r="A21" s="6" t="s">
        <v>393</v>
      </c>
      <c r="B21" s="6" t="s">
        <v>361</v>
      </c>
      <c r="C21" s="6" t="s">
        <v>394</v>
      </c>
      <c r="D21" s="6" t="s">
        <v>395</v>
      </c>
      <c r="E21" s="6" t="s">
        <v>78</v>
      </c>
      <c r="F21" s="6" t="s">
        <v>396</v>
      </c>
      <c r="G21" s="8" t="s">
        <v>11</v>
      </c>
      <c r="H21" s="6" t="s">
        <v>365</v>
      </c>
      <c r="I21" s="6" t="s">
        <v>366</v>
      </c>
      <c r="J21" s="6"/>
    </row>
    <row r="22" customFormat="false" ht="23.85" hidden="false" customHeight="false" outlineLevel="0" collapsed="false">
      <c r="A22" s="6" t="s">
        <v>397</v>
      </c>
      <c r="B22" s="6" t="s">
        <v>398</v>
      </c>
      <c r="C22" s="6" t="s">
        <v>399</v>
      </c>
      <c r="D22" s="6" t="s">
        <v>400</v>
      </c>
      <c r="E22" s="6" t="s">
        <v>304</v>
      </c>
      <c r="F22" s="6" t="s">
        <v>400</v>
      </c>
      <c r="G22" s="8" t="s">
        <v>11</v>
      </c>
      <c r="H22" s="6" t="s">
        <v>401</v>
      </c>
      <c r="I22" s="6" t="s">
        <v>402</v>
      </c>
      <c r="J22" s="6"/>
    </row>
    <row r="23" customFormat="false" ht="23.85" hidden="false" customHeight="false" outlineLevel="0" collapsed="false">
      <c r="A23" s="6" t="s">
        <v>403</v>
      </c>
      <c r="B23" s="6" t="s">
        <v>398</v>
      </c>
      <c r="C23" s="6" t="s">
        <v>404</v>
      </c>
      <c r="D23" s="6" t="s">
        <v>405</v>
      </c>
      <c r="E23" s="6" t="s">
        <v>304</v>
      </c>
      <c r="F23" s="6" t="s">
        <v>405</v>
      </c>
      <c r="G23" s="8" t="s">
        <v>11</v>
      </c>
      <c r="H23" s="6" t="s">
        <v>401</v>
      </c>
      <c r="I23" s="6" t="s">
        <v>402</v>
      </c>
      <c r="J23" s="6"/>
    </row>
    <row r="24" customFormat="false" ht="23.85" hidden="false" customHeight="false" outlineLevel="0" collapsed="false">
      <c r="A24" s="6" t="s">
        <v>406</v>
      </c>
      <c r="B24" s="6" t="s">
        <v>398</v>
      </c>
      <c r="C24" s="6" t="s">
        <v>407</v>
      </c>
      <c r="D24" s="6" t="s">
        <v>408</v>
      </c>
      <c r="E24" s="6" t="s">
        <v>304</v>
      </c>
      <c r="F24" s="6" t="s">
        <v>408</v>
      </c>
      <c r="G24" s="8" t="s">
        <v>11</v>
      </c>
      <c r="H24" s="6" t="s">
        <v>401</v>
      </c>
      <c r="I24" s="6" t="s">
        <v>402</v>
      </c>
      <c r="J24" s="6"/>
    </row>
    <row r="25" customFormat="false" ht="23.85" hidden="false" customHeight="false" outlineLevel="0" collapsed="false">
      <c r="A25" s="6" t="s">
        <v>409</v>
      </c>
      <c r="B25" s="6" t="s">
        <v>398</v>
      </c>
      <c r="C25" s="6" t="s">
        <v>410</v>
      </c>
      <c r="D25" s="6" t="s">
        <v>411</v>
      </c>
      <c r="E25" s="6" t="s">
        <v>304</v>
      </c>
      <c r="F25" s="6" t="s">
        <v>411</v>
      </c>
      <c r="G25" s="8" t="s">
        <v>11</v>
      </c>
      <c r="H25" s="6" t="s">
        <v>401</v>
      </c>
      <c r="I25" s="6" t="s">
        <v>402</v>
      </c>
      <c r="J25" s="6"/>
    </row>
    <row r="26" customFormat="false" ht="23.85" hidden="false" customHeight="false" outlineLevel="0" collapsed="false">
      <c r="A26" s="6" t="s">
        <v>412</v>
      </c>
      <c r="B26" s="6" t="s">
        <v>398</v>
      </c>
      <c r="C26" s="6" t="s">
        <v>413</v>
      </c>
      <c r="D26" s="6" t="s">
        <v>414</v>
      </c>
      <c r="E26" s="6" t="s">
        <v>304</v>
      </c>
      <c r="F26" s="6" t="s">
        <v>414</v>
      </c>
      <c r="G26" s="8" t="s">
        <v>11</v>
      </c>
      <c r="H26" s="6" t="s">
        <v>401</v>
      </c>
      <c r="I26" s="6" t="s">
        <v>402</v>
      </c>
      <c r="J26" s="6"/>
    </row>
    <row r="27" customFormat="false" ht="23.85" hidden="false" customHeight="false" outlineLevel="0" collapsed="false">
      <c r="A27" s="6" t="s">
        <v>415</v>
      </c>
      <c r="B27" s="6" t="s">
        <v>398</v>
      </c>
      <c r="C27" s="6" t="s">
        <v>416</v>
      </c>
      <c r="D27" s="6" t="s">
        <v>417</v>
      </c>
      <c r="E27" s="6" t="s">
        <v>304</v>
      </c>
      <c r="F27" s="6" t="s">
        <v>417</v>
      </c>
      <c r="G27" s="8" t="s">
        <v>11</v>
      </c>
      <c r="H27" s="6" t="s">
        <v>401</v>
      </c>
      <c r="I27" s="6" t="s">
        <v>402</v>
      </c>
      <c r="J27" s="6"/>
    </row>
    <row r="28" customFormat="false" ht="23.85" hidden="false" customHeight="false" outlineLevel="0" collapsed="false">
      <c r="A28" s="6" t="s">
        <v>418</v>
      </c>
      <c r="B28" s="6" t="s">
        <v>398</v>
      </c>
      <c r="C28" s="6" t="s">
        <v>419</v>
      </c>
      <c r="D28" s="6" t="s">
        <v>420</v>
      </c>
      <c r="E28" s="6" t="s">
        <v>304</v>
      </c>
      <c r="F28" s="6" t="s">
        <v>420</v>
      </c>
      <c r="G28" s="8" t="s">
        <v>11</v>
      </c>
      <c r="H28" s="6" t="s">
        <v>401</v>
      </c>
      <c r="I28" s="6" t="s">
        <v>402</v>
      </c>
      <c r="J28" s="6"/>
    </row>
    <row r="29" customFormat="false" ht="23.85" hidden="false" customHeight="false" outlineLevel="0" collapsed="false">
      <c r="A29" s="6" t="s">
        <v>421</v>
      </c>
      <c r="B29" s="6" t="s">
        <v>41</v>
      </c>
      <c r="C29" s="6" t="s">
        <v>422</v>
      </c>
      <c r="D29" s="6" t="s">
        <v>423</v>
      </c>
      <c r="E29" s="6" t="s">
        <v>304</v>
      </c>
      <c r="F29" s="6" t="s">
        <v>423</v>
      </c>
      <c r="G29" s="8" t="s">
        <v>11</v>
      </c>
      <c r="H29" s="6" t="s">
        <v>424</v>
      </c>
      <c r="I29" s="6" t="s">
        <v>425</v>
      </c>
      <c r="J29" s="6"/>
    </row>
    <row r="30" customFormat="false" ht="15" hidden="false" customHeight="false" outlineLevel="0" collapsed="false">
      <c r="A30" s="6" t="s">
        <v>426</v>
      </c>
      <c r="B30" s="6" t="s">
        <v>41</v>
      </c>
      <c r="C30" s="6" t="s">
        <v>427</v>
      </c>
      <c r="D30" s="6" t="s">
        <v>428</v>
      </c>
      <c r="E30" s="6" t="s">
        <v>304</v>
      </c>
      <c r="F30" s="6" t="s">
        <v>428</v>
      </c>
      <c r="G30" s="8" t="s">
        <v>11</v>
      </c>
      <c r="H30" s="6" t="s">
        <v>424</v>
      </c>
      <c r="I30" s="6" t="s">
        <v>425</v>
      </c>
      <c r="J30" s="6"/>
    </row>
    <row r="31" customFormat="false" ht="15" hidden="false" customHeight="false" outlineLevel="0" collapsed="false">
      <c r="A31" s="6" t="s">
        <v>429</v>
      </c>
      <c r="B31" s="6" t="s">
        <v>41</v>
      </c>
      <c r="C31" s="6" t="s">
        <v>430</v>
      </c>
      <c r="D31" s="6" t="s">
        <v>431</v>
      </c>
      <c r="E31" s="6" t="s">
        <v>304</v>
      </c>
      <c r="F31" s="6" t="s">
        <v>431</v>
      </c>
      <c r="G31" s="8" t="s">
        <v>11</v>
      </c>
      <c r="H31" s="6" t="s">
        <v>424</v>
      </c>
      <c r="I31" s="6" t="s">
        <v>425</v>
      </c>
      <c r="J31" s="6"/>
    </row>
    <row r="32" customFormat="false" ht="15" hidden="false" customHeight="false" outlineLevel="0" collapsed="false">
      <c r="A32" s="6" t="s">
        <v>432</v>
      </c>
      <c r="B32" s="6" t="s">
        <v>41</v>
      </c>
      <c r="C32" s="6" t="s">
        <v>433</v>
      </c>
      <c r="D32" s="6" t="s">
        <v>434</v>
      </c>
      <c r="E32" s="6" t="s">
        <v>304</v>
      </c>
      <c r="F32" s="6" t="s">
        <v>434</v>
      </c>
      <c r="G32" s="8" t="s">
        <v>11</v>
      </c>
      <c r="H32" s="6" t="s">
        <v>424</v>
      </c>
      <c r="I32" s="6" t="s">
        <v>425</v>
      </c>
      <c r="J32" s="6"/>
    </row>
    <row r="33" customFormat="false" ht="23.85" hidden="false" customHeight="false" outlineLevel="0" collapsed="false">
      <c r="A33" s="6" t="s">
        <v>435</v>
      </c>
      <c r="B33" s="6" t="s">
        <v>41</v>
      </c>
      <c r="C33" s="6" t="s">
        <v>436</v>
      </c>
      <c r="D33" s="6" t="s">
        <v>437</v>
      </c>
      <c r="E33" s="6" t="s">
        <v>304</v>
      </c>
      <c r="F33" s="6" t="s">
        <v>437</v>
      </c>
      <c r="G33" s="8" t="s">
        <v>11</v>
      </c>
      <c r="H33" s="6" t="s">
        <v>424</v>
      </c>
      <c r="I33" s="6" t="s">
        <v>425</v>
      </c>
      <c r="J33" s="6"/>
    </row>
    <row r="34" customFormat="false" ht="23.85" hidden="false" customHeight="false" outlineLevel="0" collapsed="false">
      <c r="A34" s="6" t="s">
        <v>438</v>
      </c>
      <c r="B34" s="6" t="s">
        <v>439</v>
      </c>
      <c r="C34" s="6" t="s">
        <v>440</v>
      </c>
      <c r="D34" s="6" t="s">
        <v>441</v>
      </c>
      <c r="E34" s="6" t="s">
        <v>304</v>
      </c>
      <c r="F34" s="6" t="s">
        <v>441</v>
      </c>
      <c r="G34" s="8" t="s">
        <v>11</v>
      </c>
      <c r="H34" s="6" t="s">
        <v>442</v>
      </c>
      <c r="I34" s="6" t="s">
        <v>443</v>
      </c>
      <c r="J34" s="6"/>
    </row>
    <row r="35" customFormat="false" ht="23.85" hidden="false" customHeight="false" outlineLevel="0" collapsed="false">
      <c r="A35" s="6" t="s">
        <v>444</v>
      </c>
      <c r="B35" s="6" t="s">
        <v>439</v>
      </c>
      <c r="C35" s="6" t="s">
        <v>445</v>
      </c>
      <c r="D35" s="6" t="s">
        <v>446</v>
      </c>
      <c r="E35" s="6" t="s">
        <v>304</v>
      </c>
      <c r="F35" s="6" t="s">
        <v>446</v>
      </c>
      <c r="G35" s="8" t="s">
        <v>11</v>
      </c>
      <c r="H35" s="6" t="s">
        <v>442</v>
      </c>
      <c r="I35" s="6" t="s">
        <v>443</v>
      </c>
      <c r="J35" s="6"/>
    </row>
    <row r="36" customFormat="false" ht="23.85" hidden="false" customHeight="false" outlineLevel="0" collapsed="false">
      <c r="A36" s="6" t="s">
        <v>447</v>
      </c>
      <c r="B36" s="6" t="s">
        <v>439</v>
      </c>
      <c r="C36" s="6" t="s">
        <v>448</v>
      </c>
      <c r="D36" s="6" t="s">
        <v>449</v>
      </c>
      <c r="E36" s="6" t="s">
        <v>304</v>
      </c>
      <c r="F36" s="6" t="s">
        <v>449</v>
      </c>
      <c r="G36" s="8" t="s">
        <v>11</v>
      </c>
      <c r="H36" s="6" t="s">
        <v>442</v>
      </c>
      <c r="I36" s="6" t="s">
        <v>443</v>
      </c>
      <c r="J36" s="6"/>
    </row>
    <row r="37" customFormat="false" ht="23.85" hidden="false" customHeight="false" outlineLevel="0" collapsed="false">
      <c r="A37" s="6" t="s">
        <v>450</v>
      </c>
      <c r="B37" s="6" t="s">
        <v>439</v>
      </c>
      <c r="C37" s="6" t="s">
        <v>451</v>
      </c>
      <c r="D37" s="6" t="s">
        <v>452</v>
      </c>
      <c r="E37" s="6" t="s">
        <v>304</v>
      </c>
      <c r="F37" s="6" t="s">
        <v>452</v>
      </c>
      <c r="G37" s="8" t="s">
        <v>11</v>
      </c>
      <c r="H37" s="6" t="s">
        <v>442</v>
      </c>
      <c r="I37" s="6" t="s">
        <v>443</v>
      </c>
      <c r="J37" s="6"/>
    </row>
    <row r="38" customFormat="false" ht="23.85" hidden="false" customHeight="false" outlineLevel="0" collapsed="false">
      <c r="A38" s="6" t="s">
        <v>453</v>
      </c>
      <c r="B38" s="6" t="s">
        <v>439</v>
      </c>
      <c r="C38" s="6" t="s">
        <v>454</v>
      </c>
      <c r="D38" s="6" t="s">
        <v>455</v>
      </c>
      <c r="E38" s="6" t="s">
        <v>304</v>
      </c>
      <c r="F38" s="6" t="s">
        <v>455</v>
      </c>
      <c r="G38" s="8" t="s">
        <v>11</v>
      </c>
      <c r="H38" s="6" t="s">
        <v>442</v>
      </c>
      <c r="I38" s="6" t="s">
        <v>443</v>
      </c>
      <c r="J38" s="6"/>
    </row>
    <row r="39" customFormat="false" ht="23.85" hidden="false" customHeight="false" outlineLevel="0" collapsed="false">
      <c r="A39" s="6" t="s">
        <v>456</v>
      </c>
      <c r="B39" s="6" t="s">
        <v>439</v>
      </c>
      <c r="C39" s="6" t="s">
        <v>457</v>
      </c>
      <c r="D39" s="6" t="s">
        <v>458</v>
      </c>
      <c r="E39" s="6" t="s">
        <v>304</v>
      </c>
      <c r="F39" s="6" t="s">
        <v>458</v>
      </c>
      <c r="G39" s="8" t="s">
        <v>11</v>
      </c>
      <c r="H39" s="6" t="s">
        <v>442</v>
      </c>
      <c r="I39" s="6" t="s">
        <v>443</v>
      </c>
      <c r="J39" s="6"/>
    </row>
    <row r="40" customFormat="false" ht="23.85" hidden="false" customHeight="false" outlineLevel="0" collapsed="false">
      <c r="A40" s="6" t="s">
        <v>459</v>
      </c>
      <c r="B40" s="6" t="s">
        <v>439</v>
      </c>
      <c r="C40" s="6" t="s">
        <v>460</v>
      </c>
      <c r="D40" s="6" t="s">
        <v>461</v>
      </c>
      <c r="E40" s="6" t="s">
        <v>304</v>
      </c>
      <c r="F40" s="6" t="s">
        <v>461</v>
      </c>
      <c r="G40" s="8" t="s">
        <v>11</v>
      </c>
      <c r="H40" s="6" t="s">
        <v>442</v>
      </c>
      <c r="I40" s="6" t="s">
        <v>443</v>
      </c>
      <c r="J40" s="6"/>
    </row>
    <row r="41" customFormat="false" ht="23.85" hidden="false" customHeight="false" outlineLevel="0" collapsed="false">
      <c r="A41" s="6" t="s">
        <v>462</v>
      </c>
      <c r="B41" s="6" t="s">
        <v>439</v>
      </c>
      <c r="C41" s="6" t="s">
        <v>463</v>
      </c>
      <c r="D41" s="6" t="s">
        <v>461</v>
      </c>
      <c r="E41" s="6" t="s">
        <v>304</v>
      </c>
      <c r="F41" s="6" t="s">
        <v>461</v>
      </c>
      <c r="G41" s="8" t="s">
        <v>11</v>
      </c>
      <c r="H41" s="6" t="s">
        <v>442</v>
      </c>
      <c r="I41" s="6" t="s">
        <v>443</v>
      </c>
      <c r="J41" s="6"/>
    </row>
    <row r="42" customFormat="false" ht="23.85" hidden="false" customHeight="false" outlineLevel="0" collapsed="false">
      <c r="A42" s="6" t="s">
        <v>464</v>
      </c>
      <c r="B42" s="6" t="s">
        <v>439</v>
      </c>
      <c r="C42" s="6" t="s">
        <v>465</v>
      </c>
      <c r="D42" s="6" t="s">
        <v>466</v>
      </c>
      <c r="E42" s="6" t="s">
        <v>304</v>
      </c>
      <c r="F42" s="6" t="s">
        <v>466</v>
      </c>
      <c r="G42" s="8" t="s">
        <v>11</v>
      </c>
      <c r="H42" s="6" t="s">
        <v>442</v>
      </c>
      <c r="I42" s="6" t="s">
        <v>443</v>
      </c>
      <c r="J42" s="6"/>
    </row>
    <row r="43" customFormat="false" ht="23.85" hidden="false" customHeight="false" outlineLevel="0" collapsed="false">
      <c r="A43" s="6" t="s">
        <v>467</v>
      </c>
      <c r="B43" s="6" t="s">
        <v>439</v>
      </c>
      <c r="C43" s="6" t="s">
        <v>468</v>
      </c>
      <c r="D43" s="6" t="s">
        <v>469</v>
      </c>
      <c r="E43" s="6" t="s">
        <v>304</v>
      </c>
      <c r="F43" s="6" t="s">
        <v>469</v>
      </c>
      <c r="G43" s="8" t="s">
        <v>11</v>
      </c>
      <c r="H43" s="6" t="s">
        <v>442</v>
      </c>
      <c r="I43" s="6" t="s">
        <v>443</v>
      </c>
      <c r="J43" s="6"/>
    </row>
    <row r="44" customFormat="false" ht="15" hidden="false" customHeight="false" outlineLevel="0" collapsed="false">
      <c r="A44" s="6" t="s">
        <v>470</v>
      </c>
      <c r="B44" s="6" t="s">
        <v>199</v>
      </c>
      <c r="C44" s="6" t="s">
        <v>471</v>
      </c>
      <c r="D44" s="6" t="s">
        <v>472</v>
      </c>
      <c r="E44" s="6" t="s">
        <v>304</v>
      </c>
      <c r="F44" s="6" t="s">
        <v>472</v>
      </c>
      <c r="G44" s="8" t="s">
        <v>11</v>
      </c>
      <c r="H44" s="6" t="s">
        <v>473</v>
      </c>
      <c r="I44" s="6" t="s">
        <v>474</v>
      </c>
      <c r="J44" s="6"/>
    </row>
    <row r="45" customFormat="false" ht="35.05" hidden="false" customHeight="false" outlineLevel="0" collapsed="false">
      <c r="A45" s="6" t="s">
        <v>475</v>
      </c>
      <c r="B45" s="6" t="s">
        <v>199</v>
      </c>
      <c r="C45" s="6" t="s">
        <v>476</v>
      </c>
      <c r="D45" s="6" t="s">
        <v>477</v>
      </c>
      <c r="E45" s="6" t="s">
        <v>93</v>
      </c>
      <c r="F45" s="6" t="s">
        <v>478</v>
      </c>
      <c r="G45" s="9" t="s">
        <v>10</v>
      </c>
      <c r="H45" s="6" t="s">
        <v>479</v>
      </c>
      <c r="I45" s="6" t="s">
        <v>480</v>
      </c>
      <c r="J45" s="6" t="s">
        <v>481</v>
      </c>
    </row>
    <row r="46" customFormat="false" ht="15" hidden="false" customHeight="false" outlineLevel="0" collapsed="false">
      <c r="A46" s="6" t="s">
        <v>482</v>
      </c>
      <c r="B46" s="6" t="s">
        <v>199</v>
      </c>
      <c r="C46" s="6" t="s">
        <v>483</v>
      </c>
      <c r="D46" s="6" t="s">
        <v>484</v>
      </c>
      <c r="E46" s="6" t="s">
        <v>304</v>
      </c>
      <c r="F46" s="6" t="s">
        <v>484</v>
      </c>
      <c r="G46" s="8" t="s">
        <v>11</v>
      </c>
      <c r="H46" s="6" t="s">
        <v>473</v>
      </c>
      <c r="I46" s="6" t="s">
        <v>474</v>
      </c>
      <c r="J46" s="6"/>
    </row>
    <row r="47" customFormat="false" ht="15" hidden="false" customHeight="false" outlineLevel="0" collapsed="false">
      <c r="A47" s="6" t="s">
        <v>485</v>
      </c>
      <c r="B47" s="6" t="s">
        <v>199</v>
      </c>
      <c r="C47" s="6" t="s">
        <v>486</v>
      </c>
      <c r="D47" s="6" t="s">
        <v>487</v>
      </c>
      <c r="E47" s="6" t="s">
        <v>304</v>
      </c>
      <c r="F47" s="6" t="s">
        <v>487</v>
      </c>
      <c r="G47" s="8" t="s">
        <v>11</v>
      </c>
      <c r="H47" s="6" t="s">
        <v>473</v>
      </c>
      <c r="I47" s="6" t="s">
        <v>474</v>
      </c>
      <c r="J47" s="6"/>
    </row>
    <row r="48" customFormat="false" ht="15" hidden="false" customHeight="false" outlineLevel="0" collapsed="false">
      <c r="A48" s="6" t="s">
        <v>488</v>
      </c>
      <c r="B48" s="6" t="s">
        <v>199</v>
      </c>
      <c r="C48" s="6" t="s">
        <v>489</v>
      </c>
      <c r="D48" s="6" t="s">
        <v>490</v>
      </c>
      <c r="E48" s="6" t="s">
        <v>93</v>
      </c>
      <c r="F48" s="6" t="s">
        <v>484</v>
      </c>
      <c r="G48" s="8" t="s">
        <v>11</v>
      </c>
      <c r="H48" s="6" t="s">
        <v>473</v>
      </c>
      <c r="I48" s="6" t="s">
        <v>474</v>
      </c>
      <c r="J48" s="6"/>
    </row>
    <row r="49" customFormat="false" ht="15" hidden="false" customHeight="false" outlineLevel="0" collapsed="false">
      <c r="A49" s="6" t="s">
        <v>491</v>
      </c>
      <c r="B49" s="6" t="s">
        <v>199</v>
      </c>
      <c r="C49" s="6" t="s">
        <v>492</v>
      </c>
      <c r="D49" s="6" t="s">
        <v>493</v>
      </c>
      <c r="E49" s="6" t="s">
        <v>304</v>
      </c>
      <c r="F49" s="6" t="s">
        <v>493</v>
      </c>
      <c r="G49" s="8" t="s">
        <v>11</v>
      </c>
      <c r="H49" s="6" t="s">
        <v>473</v>
      </c>
      <c r="I49" s="6" t="s">
        <v>474</v>
      </c>
      <c r="J49" s="6"/>
    </row>
    <row r="50" customFormat="false" ht="23.85" hidden="false" customHeight="false" outlineLevel="0" collapsed="false">
      <c r="A50" s="6" t="s">
        <v>494</v>
      </c>
      <c r="B50" s="6" t="s">
        <v>495</v>
      </c>
      <c r="C50" s="6" t="s">
        <v>496</v>
      </c>
      <c r="D50" s="6" t="s">
        <v>497</v>
      </c>
      <c r="E50" s="6" t="s">
        <v>304</v>
      </c>
      <c r="F50" s="6" t="s">
        <v>497</v>
      </c>
      <c r="G50" s="8" t="s">
        <v>11</v>
      </c>
      <c r="H50" s="6" t="s">
        <v>498</v>
      </c>
      <c r="I50" s="6" t="s">
        <v>499</v>
      </c>
      <c r="J50" s="6"/>
    </row>
    <row r="51" customFormat="false" ht="23.85" hidden="false" customHeight="false" outlineLevel="0" collapsed="false">
      <c r="A51" s="6" t="s">
        <v>500</v>
      </c>
      <c r="B51" s="6" t="s">
        <v>495</v>
      </c>
      <c r="C51" s="6" t="s">
        <v>501</v>
      </c>
      <c r="D51" s="6" t="s">
        <v>502</v>
      </c>
      <c r="E51" s="6" t="s">
        <v>304</v>
      </c>
      <c r="F51" s="6" t="s">
        <v>502</v>
      </c>
      <c r="G51" s="8" t="s">
        <v>11</v>
      </c>
      <c r="H51" s="6" t="s">
        <v>498</v>
      </c>
      <c r="I51" s="6" t="s">
        <v>499</v>
      </c>
      <c r="J51" s="6"/>
    </row>
    <row r="52" customFormat="false" ht="23.85" hidden="false" customHeight="false" outlineLevel="0" collapsed="false">
      <c r="A52" s="6" t="s">
        <v>503</v>
      </c>
      <c r="B52" s="6" t="s">
        <v>495</v>
      </c>
      <c r="C52" s="6" t="s">
        <v>504</v>
      </c>
      <c r="D52" s="6" t="s">
        <v>505</v>
      </c>
      <c r="E52" s="6" t="s">
        <v>78</v>
      </c>
      <c r="F52" s="6" t="s">
        <v>506</v>
      </c>
      <c r="G52" s="8" t="s">
        <v>11</v>
      </c>
      <c r="H52" s="6" t="s">
        <v>498</v>
      </c>
      <c r="I52" s="6" t="s">
        <v>499</v>
      </c>
      <c r="J52" s="6"/>
    </row>
    <row r="53" customFormat="false" ht="23.85" hidden="false" customHeight="false" outlineLevel="0" collapsed="false">
      <c r="A53" s="6" t="s">
        <v>507</v>
      </c>
      <c r="B53" s="6" t="s">
        <v>508</v>
      </c>
      <c r="C53" s="6" t="s">
        <v>509</v>
      </c>
      <c r="D53" s="6" t="s">
        <v>510</v>
      </c>
      <c r="E53" s="6" t="s">
        <v>78</v>
      </c>
      <c r="F53" s="6" t="s">
        <v>511</v>
      </c>
      <c r="G53" s="8" t="s">
        <v>11</v>
      </c>
      <c r="H53" s="6" t="s">
        <v>512</v>
      </c>
      <c r="I53" s="6" t="s">
        <v>513</v>
      </c>
      <c r="J53" s="6"/>
    </row>
    <row r="54" customFormat="false" ht="23.85" hidden="false" customHeight="false" outlineLevel="0" collapsed="false">
      <c r="A54" s="6" t="s">
        <v>514</v>
      </c>
      <c r="B54" s="6" t="s">
        <v>508</v>
      </c>
      <c r="C54" s="6" t="s">
        <v>515</v>
      </c>
      <c r="D54" s="6" t="s">
        <v>516</v>
      </c>
      <c r="E54" s="6" t="s">
        <v>304</v>
      </c>
      <c r="F54" s="6" t="s">
        <v>516</v>
      </c>
      <c r="G54" s="8" t="s">
        <v>11</v>
      </c>
      <c r="H54" s="6" t="s">
        <v>512</v>
      </c>
      <c r="I54" s="6" t="s">
        <v>513</v>
      </c>
      <c r="J54" s="6"/>
    </row>
    <row r="55" customFormat="false" ht="23.85" hidden="false" customHeight="false" outlineLevel="0" collapsed="false">
      <c r="A55" s="6" t="s">
        <v>517</v>
      </c>
      <c r="B55" s="6" t="s">
        <v>508</v>
      </c>
      <c r="C55" s="6" t="s">
        <v>518</v>
      </c>
      <c r="D55" s="6" t="s">
        <v>519</v>
      </c>
      <c r="E55" s="6" t="s">
        <v>304</v>
      </c>
      <c r="F55" s="6" t="s">
        <v>519</v>
      </c>
      <c r="G55" s="8" t="s">
        <v>11</v>
      </c>
      <c r="H55" s="6" t="s">
        <v>512</v>
      </c>
      <c r="I55" s="6" t="s">
        <v>513</v>
      </c>
      <c r="J55" s="6"/>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2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2" min="1" style="0" width="28"/>
    <col collapsed="false" customWidth="true" hidden="false" outlineLevel="0" max="3" min="3" style="0" width="26"/>
    <col collapsed="false" customWidth="true" hidden="false" outlineLevel="0" max="4" min="4" style="0" width="48"/>
    <col collapsed="false" customWidth="true" hidden="false" outlineLevel="0" max="5" min="5" style="0" width="70"/>
  </cols>
  <sheetData>
    <row r="1" customFormat="false" ht="15" hidden="false" customHeight="false" outlineLevel="0" collapsed="false">
      <c r="A1" s="5" t="s">
        <v>520</v>
      </c>
      <c r="B1" s="5" t="s">
        <v>521</v>
      </c>
      <c r="C1" s="5" t="s">
        <v>522</v>
      </c>
      <c r="D1" s="5" t="s">
        <v>523</v>
      </c>
      <c r="E1" s="5" t="s">
        <v>524</v>
      </c>
    </row>
    <row r="2" customFormat="false" ht="15" hidden="false" customHeight="false" outlineLevel="0" collapsed="false">
      <c r="A2" s="6" t="s">
        <v>78</v>
      </c>
      <c r="B2" s="6" t="s">
        <v>525</v>
      </c>
      <c r="C2" s="6" t="s">
        <v>526</v>
      </c>
      <c r="D2" s="6" t="s">
        <v>527</v>
      </c>
      <c r="E2" s="6" t="s">
        <v>528</v>
      </c>
    </row>
    <row r="3" customFormat="false" ht="15" hidden="false" customHeight="false" outlineLevel="0" collapsed="false">
      <c r="A3" s="6" t="s">
        <v>80</v>
      </c>
      <c r="B3" s="6" t="s">
        <v>529</v>
      </c>
      <c r="C3" s="6" t="s">
        <v>530</v>
      </c>
      <c r="D3" s="6" t="s">
        <v>531</v>
      </c>
      <c r="E3" s="6" t="s">
        <v>532</v>
      </c>
    </row>
    <row r="4" customFormat="false" ht="15" hidden="false" customHeight="false" outlineLevel="0" collapsed="false">
      <c r="A4" s="6" t="s">
        <v>83</v>
      </c>
      <c r="B4" s="6" t="s">
        <v>529</v>
      </c>
      <c r="C4" s="6" t="s">
        <v>530</v>
      </c>
      <c r="D4" s="6" t="s">
        <v>531</v>
      </c>
      <c r="E4" s="6" t="s">
        <v>533</v>
      </c>
    </row>
    <row r="5" customFormat="false" ht="15" hidden="false" customHeight="false" outlineLevel="0" collapsed="false">
      <c r="A5" s="6" t="s">
        <v>84</v>
      </c>
      <c r="B5" s="6" t="s">
        <v>529</v>
      </c>
      <c r="C5" s="6" t="s">
        <v>530</v>
      </c>
      <c r="D5" s="6" t="s">
        <v>534</v>
      </c>
      <c r="E5" s="6" t="s">
        <v>535</v>
      </c>
    </row>
    <row r="6" customFormat="false" ht="15" hidden="false" customHeight="false" outlineLevel="0" collapsed="false">
      <c r="A6" s="6" t="s">
        <v>86</v>
      </c>
      <c r="B6" s="6" t="s">
        <v>529</v>
      </c>
      <c r="C6" s="6" t="s">
        <v>530</v>
      </c>
      <c r="D6" s="6" t="s">
        <v>536</v>
      </c>
      <c r="E6" s="6" t="s">
        <v>537</v>
      </c>
    </row>
    <row r="7" customFormat="false" ht="15" hidden="false" customHeight="false" outlineLevel="0" collapsed="false">
      <c r="A7" s="6" t="s">
        <v>89</v>
      </c>
      <c r="B7" s="6" t="s">
        <v>529</v>
      </c>
      <c r="C7" s="6" t="s">
        <v>530</v>
      </c>
      <c r="D7" s="6" t="s">
        <v>538</v>
      </c>
      <c r="E7" s="6" t="s">
        <v>539</v>
      </c>
    </row>
    <row r="8" customFormat="false" ht="15" hidden="false" customHeight="false" outlineLevel="0" collapsed="false">
      <c r="A8" s="6" t="s">
        <v>91</v>
      </c>
      <c r="B8" s="6" t="s">
        <v>529</v>
      </c>
      <c r="C8" s="6" t="s">
        <v>530</v>
      </c>
      <c r="D8" s="6" t="s">
        <v>540</v>
      </c>
      <c r="E8" s="6" t="s">
        <v>541</v>
      </c>
    </row>
    <row r="9" customFormat="false" ht="15" hidden="false" customHeight="false" outlineLevel="0" collapsed="false">
      <c r="A9" s="6" t="s">
        <v>93</v>
      </c>
      <c r="B9" s="6" t="s">
        <v>542</v>
      </c>
      <c r="C9" s="6" t="s">
        <v>543</v>
      </c>
      <c r="D9" s="6" t="s">
        <v>544</v>
      </c>
      <c r="E9" s="6" t="s">
        <v>545</v>
      </c>
    </row>
    <row r="10" customFormat="false" ht="23.85" hidden="false" customHeight="false" outlineLevel="0" collapsed="false">
      <c r="A10" s="6" t="s">
        <v>95</v>
      </c>
      <c r="B10" s="6" t="s">
        <v>546</v>
      </c>
      <c r="C10" s="6" t="s">
        <v>547</v>
      </c>
      <c r="D10" s="6" t="s">
        <v>548</v>
      </c>
      <c r="E10" s="6" t="s">
        <v>549</v>
      </c>
    </row>
    <row r="11" customFormat="false" ht="23.85" hidden="false" customHeight="false" outlineLevel="0" collapsed="false">
      <c r="A11" s="6" t="s">
        <v>97</v>
      </c>
      <c r="B11" s="6" t="s">
        <v>529</v>
      </c>
      <c r="C11" s="6" t="s">
        <v>530</v>
      </c>
      <c r="D11" s="6" t="s">
        <v>550</v>
      </c>
      <c r="E11" s="6" t="s">
        <v>551</v>
      </c>
    </row>
    <row r="12" customFormat="false" ht="15" hidden="false" customHeight="false" outlineLevel="0" collapsed="false">
      <c r="A12" s="6" t="s">
        <v>99</v>
      </c>
      <c r="B12" s="6" t="s">
        <v>529</v>
      </c>
      <c r="C12" s="6" t="s">
        <v>552</v>
      </c>
      <c r="D12" s="6" t="s">
        <v>553</v>
      </c>
      <c r="E12" s="6" t="s">
        <v>554</v>
      </c>
    </row>
    <row r="13" customFormat="false" ht="15" hidden="false" customHeight="false" outlineLevel="0" collapsed="false">
      <c r="A13" s="6" t="s">
        <v>101</v>
      </c>
      <c r="B13" s="6" t="s">
        <v>555</v>
      </c>
      <c r="C13" s="6" t="s">
        <v>556</v>
      </c>
      <c r="D13" s="6" t="s">
        <v>557</v>
      </c>
      <c r="E13" s="6" t="s">
        <v>558</v>
      </c>
    </row>
    <row r="14" customFormat="false" ht="23.85" hidden="false" customHeight="false" outlineLevel="0" collapsed="false">
      <c r="A14" s="6" t="s">
        <v>103</v>
      </c>
      <c r="B14" s="6" t="s">
        <v>559</v>
      </c>
      <c r="C14" s="6" t="s">
        <v>560</v>
      </c>
      <c r="D14" s="6" t="s">
        <v>561</v>
      </c>
      <c r="E14" s="6" t="s">
        <v>562</v>
      </c>
    </row>
    <row r="15" customFormat="false" ht="15" hidden="false" customHeight="false" outlineLevel="0" collapsed="false">
      <c r="A15" s="6" t="s">
        <v>105</v>
      </c>
      <c r="B15" s="6" t="s">
        <v>529</v>
      </c>
      <c r="C15" s="6" t="s">
        <v>552</v>
      </c>
      <c r="D15" s="6" t="s">
        <v>563</v>
      </c>
      <c r="E15" s="6" t="s">
        <v>564</v>
      </c>
    </row>
    <row r="16" customFormat="false" ht="15" hidden="false" customHeight="false" outlineLevel="0" collapsed="false">
      <c r="A16" s="6" t="s">
        <v>107</v>
      </c>
      <c r="B16" s="6" t="s">
        <v>565</v>
      </c>
      <c r="C16" s="6" t="s">
        <v>560</v>
      </c>
      <c r="D16" s="6" t="s">
        <v>566</v>
      </c>
      <c r="E16" s="6" t="s">
        <v>567</v>
      </c>
    </row>
    <row r="17" customFormat="false" ht="15" hidden="false" customHeight="false" outlineLevel="0" collapsed="false">
      <c r="A17" s="6" t="s">
        <v>109</v>
      </c>
      <c r="B17" s="6" t="s">
        <v>568</v>
      </c>
      <c r="C17" s="6" t="s">
        <v>543</v>
      </c>
      <c r="D17" s="6" t="s">
        <v>569</v>
      </c>
      <c r="E17" s="6" t="s">
        <v>570</v>
      </c>
    </row>
    <row r="18" customFormat="false" ht="15" hidden="false" customHeight="false" outlineLevel="0" collapsed="false">
      <c r="A18" s="6" t="s">
        <v>110</v>
      </c>
      <c r="B18" s="6" t="s">
        <v>529</v>
      </c>
      <c r="C18" s="6" t="s">
        <v>552</v>
      </c>
      <c r="D18" s="6" t="s">
        <v>571</v>
      </c>
      <c r="E18" s="6" t="s">
        <v>572</v>
      </c>
    </row>
    <row r="19" customFormat="false" ht="15" hidden="false" customHeight="false" outlineLevel="0" collapsed="false">
      <c r="A19" s="6" t="s">
        <v>111</v>
      </c>
      <c r="B19" s="6" t="s">
        <v>529</v>
      </c>
      <c r="C19" s="6" t="s">
        <v>552</v>
      </c>
      <c r="D19" s="6" t="s">
        <v>573</v>
      </c>
      <c r="E19" s="6" t="s">
        <v>572</v>
      </c>
    </row>
    <row r="20" customFormat="false" ht="15" hidden="false" customHeight="false" outlineLevel="0" collapsed="false">
      <c r="A20" s="6" t="s">
        <v>112</v>
      </c>
      <c r="B20" s="6" t="s">
        <v>529</v>
      </c>
      <c r="C20" s="6" t="s">
        <v>552</v>
      </c>
      <c r="D20" s="6" t="s">
        <v>574</v>
      </c>
      <c r="E20" s="6" t="s">
        <v>575</v>
      </c>
    </row>
    <row r="21" customFormat="false" ht="15" hidden="false" customHeight="false" outlineLevel="0" collapsed="false">
      <c r="A21" s="6" t="s">
        <v>113</v>
      </c>
      <c r="B21" s="6" t="s">
        <v>529</v>
      </c>
      <c r="C21" s="6" t="s">
        <v>552</v>
      </c>
      <c r="D21" s="6" t="s">
        <v>576</v>
      </c>
      <c r="E21" s="6" t="s">
        <v>577</v>
      </c>
    </row>
    <row r="22" customFormat="false" ht="15" hidden="false" customHeight="false" outlineLevel="0" collapsed="false">
      <c r="A22" s="6" t="s">
        <v>114</v>
      </c>
      <c r="B22" s="6" t="s">
        <v>578</v>
      </c>
      <c r="C22" s="6" t="s">
        <v>579</v>
      </c>
      <c r="D22" s="6" t="s">
        <v>580</v>
      </c>
      <c r="E22" s="6" t="s">
        <v>581</v>
      </c>
    </row>
    <row r="23" customFormat="false" ht="15" hidden="false" customHeight="false" outlineLevel="0" collapsed="false">
      <c r="A23" s="6" t="s">
        <v>115</v>
      </c>
      <c r="B23" s="6" t="s">
        <v>578</v>
      </c>
      <c r="C23" s="6" t="s">
        <v>579</v>
      </c>
      <c r="D23" s="6" t="s">
        <v>582</v>
      </c>
      <c r="E23" s="6" t="s">
        <v>583</v>
      </c>
    </row>
    <row r="24" customFormat="false" ht="15" hidden="false" customHeight="false" outlineLevel="0" collapsed="false">
      <c r="A24" s="6" t="s">
        <v>117</v>
      </c>
      <c r="B24" s="6" t="s">
        <v>578</v>
      </c>
      <c r="C24" s="6" t="s">
        <v>579</v>
      </c>
      <c r="D24" s="6" t="s">
        <v>582</v>
      </c>
      <c r="E24" s="6" t="s">
        <v>584</v>
      </c>
    </row>
    <row r="25" customFormat="false" ht="15" hidden="false" customHeight="false" outlineLevel="0" collapsed="false">
      <c r="A25" s="6" t="s">
        <v>119</v>
      </c>
      <c r="B25" s="6" t="s">
        <v>529</v>
      </c>
      <c r="C25" s="6" t="s">
        <v>552</v>
      </c>
      <c r="D25" s="6" t="s">
        <v>585</v>
      </c>
      <c r="E25" s="6" t="s">
        <v>586</v>
      </c>
    </row>
    <row r="26" customFormat="false" ht="15" hidden="false" customHeight="false" outlineLevel="0" collapsed="false">
      <c r="A26" s="6" t="s">
        <v>121</v>
      </c>
      <c r="B26" s="6" t="s">
        <v>529</v>
      </c>
      <c r="C26" s="6" t="s">
        <v>552</v>
      </c>
      <c r="D26" s="6" t="s">
        <v>587</v>
      </c>
      <c r="E26" s="6" t="s">
        <v>588</v>
      </c>
    </row>
    <row r="27" customFormat="false" ht="15" hidden="false" customHeight="false" outlineLevel="0" collapsed="false">
      <c r="A27" s="6" t="s">
        <v>123</v>
      </c>
      <c r="B27" s="6" t="s">
        <v>589</v>
      </c>
      <c r="C27" s="6" t="s">
        <v>543</v>
      </c>
      <c r="D27" s="6" t="s">
        <v>590</v>
      </c>
      <c r="E27" s="6" t="s">
        <v>591</v>
      </c>
    </row>
    <row r="28" customFormat="false" ht="15" hidden="false" customHeight="false" outlineLevel="0" collapsed="false">
      <c r="A28" s="6" t="s">
        <v>125</v>
      </c>
      <c r="B28" s="6" t="s">
        <v>592</v>
      </c>
      <c r="C28" s="6" t="s">
        <v>543</v>
      </c>
      <c r="D28" s="6" t="s">
        <v>593</v>
      </c>
      <c r="E28" s="6" t="s">
        <v>594</v>
      </c>
    </row>
    <row r="29" customFormat="false" ht="23.85" hidden="false" customHeight="false" outlineLevel="0" collapsed="false">
      <c r="A29" s="6" t="s">
        <v>141</v>
      </c>
      <c r="B29" s="6" t="s">
        <v>529</v>
      </c>
      <c r="C29" s="6" t="s">
        <v>595</v>
      </c>
      <c r="D29" s="6" t="s">
        <v>596</v>
      </c>
      <c r="E29" s="6" t="s">
        <v>597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52"/>
    <col collapsed="false" customWidth="true" hidden="false" outlineLevel="0" max="2" min="2" style="0" width="22"/>
    <col collapsed="false" customWidth="true" hidden="false" outlineLevel="0" max="3" min="3" style="0" width="60"/>
  </cols>
  <sheetData>
    <row r="1" customFormat="false" ht="15" hidden="false" customHeight="false" outlineLevel="0" collapsed="false">
      <c r="A1" s="5" t="s">
        <v>598</v>
      </c>
      <c r="B1" s="5" t="s">
        <v>599</v>
      </c>
      <c r="C1" s="5" t="s">
        <v>600</v>
      </c>
    </row>
    <row r="2" customFormat="false" ht="15" hidden="false" customHeight="false" outlineLevel="0" collapsed="false">
      <c r="A2" s="6" t="s">
        <v>601</v>
      </c>
      <c r="B2" s="6" t="s">
        <v>31</v>
      </c>
      <c r="C2" s="6" t="s">
        <v>602</v>
      </c>
    </row>
    <row r="3" customFormat="false" ht="15" hidden="false" customHeight="false" outlineLevel="0" collapsed="false">
      <c r="A3" s="6" t="s">
        <v>603</v>
      </c>
      <c r="B3" s="6" t="s">
        <v>31</v>
      </c>
      <c r="C3" s="6" t="s">
        <v>602</v>
      </c>
    </row>
    <row r="4" customFormat="false" ht="15" hidden="false" customHeight="false" outlineLevel="0" collapsed="false">
      <c r="A4" s="6" t="s">
        <v>604</v>
      </c>
      <c r="B4" s="6" t="s">
        <v>31</v>
      </c>
      <c r="C4" s="6" t="s">
        <v>605</v>
      </c>
    </row>
    <row r="5" customFormat="false" ht="15" hidden="false" customHeight="false" outlineLevel="0" collapsed="false">
      <c r="A5" s="6" t="s">
        <v>606</v>
      </c>
      <c r="B5" s="6" t="s">
        <v>31</v>
      </c>
      <c r="C5" s="6" t="s">
        <v>602</v>
      </c>
    </row>
    <row r="6" customFormat="false" ht="15" hidden="false" customHeight="false" outlineLevel="0" collapsed="false">
      <c r="A6" s="6" t="s">
        <v>607</v>
      </c>
      <c r="B6" s="6" t="s">
        <v>31</v>
      </c>
      <c r="C6" s="6" t="s">
        <v>608</v>
      </c>
    </row>
    <row r="7" customFormat="false" ht="15" hidden="false" customHeight="false" outlineLevel="0" collapsed="false">
      <c r="A7" s="6" t="s">
        <v>609</v>
      </c>
      <c r="B7" s="6" t="s">
        <v>31</v>
      </c>
      <c r="C7" s="6" t="s">
        <v>610</v>
      </c>
    </row>
    <row r="8" customFormat="false" ht="15" hidden="false" customHeight="false" outlineLevel="0" collapsed="false">
      <c r="A8" s="6" t="s">
        <v>611</v>
      </c>
      <c r="B8" s="6" t="s">
        <v>31</v>
      </c>
      <c r="C8" s="6" t="s">
        <v>612</v>
      </c>
    </row>
    <row r="9" customFormat="false" ht="23.85" hidden="false" customHeight="false" outlineLevel="0" collapsed="false">
      <c r="A9" s="6" t="s">
        <v>613</v>
      </c>
      <c r="B9" s="6" t="s">
        <v>614</v>
      </c>
      <c r="C9" s="6" t="s">
        <v>602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16"/>
    <col collapsed="false" customWidth="true" hidden="false" outlineLevel="0" max="3" min="3" style="0" width="22"/>
    <col collapsed="false" customWidth="true" hidden="false" outlineLevel="0" max="4" min="4" style="0" width="12"/>
  </cols>
  <sheetData>
    <row r="1" customFormat="false" ht="23.85" hidden="false" customHeight="false" outlineLevel="0" collapsed="false">
      <c r="A1" s="5" t="s">
        <v>615</v>
      </c>
      <c r="B1" s="5" t="s">
        <v>616</v>
      </c>
      <c r="C1" s="5" t="s">
        <v>617</v>
      </c>
      <c r="D1" s="5" t="s">
        <v>522</v>
      </c>
    </row>
    <row r="2" customFormat="false" ht="15" hidden="false" customHeight="false" outlineLevel="0" collapsed="false">
      <c r="A2" s="6" t="s">
        <v>31</v>
      </c>
      <c r="B2" s="6" t="n">
        <v>1000</v>
      </c>
      <c r="C2" s="6" t="n">
        <v>1000</v>
      </c>
      <c r="D2" s="7" t="s">
        <v>522</v>
      </c>
    </row>
    <row r="3" customFormat="false" ht="15" hidden="false" customHeight="false" outlineLevel="0" collapsed="false">
      <c r="A3" s="6" t="s">
        <v>618</v>
      </c>
      <c r="B3" s="6" t="n">
        <v>78</v>
      </c>
      <c r="C3" s="6" t="n">
        <v>78</v>
      </c>
      <c r="D3" s="7" t="s">
        <v>522</v>
      </c>
    </row>
    <row r="4" customFormat="false" ht="15" hidden="false" customHeight="false" outlineLevel="0" collapsed="false">
      <c r="A4" s="6" t="s">
        <v>619</v>
      </c>
      <c r="B4" s="6" t="n">
        <v>325</v>
      </c>
      <c r="C4" s="6" t="n">
        <v>325</v>
      </c>
      <c r="D4" s="7" t="s">
        <v>522</v>
      </c>
    </row>
    <row r="5" customFormat="false" ht="15" hidden="false" customHeight="false" outlineLevel="0" collapsed="false">
      <c r="A5" s="6" t="s">
        <v>620</v>
      </c>
      <c r="B5" s="6" t="n">
        <v>855</v>
      </c>
      <c r="C5" s="6" t="n">
        <v>855</v>
      </c>
      <c r="D5" s="7" t="s">
        <v>522</v>
      </c>
    </row>
    <row r="6" customFormat="false" ht="15" hidden="false" customHeight="false" outlineLevel="0" collapsed="false">
      <c r="A6" s="6" t="s">
        <v>621</v>
      </c>
      <c r="B6" s="6" t="n">
        <v>722</v>
      </c>
      <c r="C6" s="6" t="n">
        <v>722</v>
      </c>
      <c r="D6" s="7" t="s">
        <v>522</v>
      </c>
    </row>
    <row r="7" customFormat="false" ht="15" hidden="false" customHeight="false" outlineLevel="0" collapsed="false">
      <c r="A7" s="6" t="s">
        <v>223</v>
      </c>
      <c r="B7" s="6" t="n">
        <v>339</v>
      </c>
      <c r="C7" s="6" t="n">
        <v>339</v>
      </c>
      <c r="D7" s="7" t="s">
        <v>522</v>
      </c>
    </row>
    <row r="8" customFormat="false" ht="15" hidden="false" customHeight="false" outlineLevel="0" collapsed="false">
      <c r="A8" s="6" t="s">
        <v>622</v>
      </c>
      <c r="B8" s="6" t="n">
        <v>119</v>
      </c>
      <c r="C8" s="6" t="n">
        <v>119</v>
      </c>
      <c r="D8" s="7" t="s">
        <v>522</v>
      </c>
    </row>
    <row r="9" customFormat="false" ht="15" hidden="false" customHeight="false" outlineLevel="0" collapsed="false">
      <c r="A9" s="6" t="s">
        <v>212</v>
      </c>
      <c r="B9" s="6" t="n">
        <v>77</v>
      </c>
      <c r="C9" s="6" t="n">
        <v>77</v>
      </c>
      <c r="D9" s="7" t="s">
        <v>522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100"/>
    <col collapsed="false" customWidth="true" hidden="false" outlineLevel="0" max="3" min="3" style="0" width="36"/>
    <col collapsed="false" customWidth="true" hidden="false" outlineLevel="0" max="4" min="4" style="0" width="70"/>
  </cols>
  <sheetData>
    <row r="1" customFormat="false" ht="15" hidden="false" customHeight="false" outlineLevel="0" collapsed="false">
      <c r="A1" s="5" t="s">
        <v>623</v>
      </c>
      <c r="B1" s="5" t="s">
        <v>624</v>
      </c>
      <c r="C1" s="5" t="s">
        <v>625</v>
      </c>
      <c r="D1" s="5" t="s">
        <v>626</v>
      </c>
    </row>
    <row r="2" customFormat="false" ht="23.85" hidden="false" customHeight="false" outlineLevel="0" collapsed="false">
      <c r="A2" s="6" t="s">
        <v>470</v>
      </c>
      <c r="B2" s="6" t="s">
        <v>627</v>
      </c>
      <c r="C2" s="6" t="s">
        <v>628</v>
      </c>
      <c r="D2" s="6" t="s">
        <v>629</v>
      </c>
    </row>
    <row r="3" customFormat="false" ht="23.85" hidden="false" customHeight="false" outlineLevel="0" collapsed="false">
      <c r="A3" s="6" t="s">
        <v>475</v>
      </c>
      <c r="B3" s="6" t="s">
        <v>630</v>
      </c>
      <c r="C3" s="6" t="s">
        <v>631</v>
      </c>
      <c r="D3" s="6" t="s">
        <v>632</v>
      </c>
    </row>
    <row r="4" customFormat="false" ht="15" hidden="false" customHeight="false" outlineLevel="0" collapsed="false">
      <c r="A4" s="6" t="s">
        <v>482</v>
      </c>
      <c r="B4" s="6" t="s">
        <v>633</v>
      </c>
      <c r="C4" s="6" t="s">
        <v>634</v>
      </c>
      <c r="D4" s="6" t="s">
        <v>635</v>
      </c>
    </row>
    <row r="5" customFormat="false" ht="23.85" hidden="false" customHeight="false" outlineLevel="0" collapsed="false">
      <c r="A5" s="6" t="s">
        <v>485</v>
      </c>
      <c r="B5" s="6" t="s">
        <v>636</v>
      </c>
      <c r="C5" s="6" t="s">
        <v>637</v>
      </c>
      <c r="D5" s="6" t="s">
        <v>638</v>
      </c>
    </row>
    <row r="6" customFormat="false" ht="35.05" hidden="false" customHeight="false" outlineLevel="0" collapsed="false">
      <c r="A6" s="6" t="s">
        <v>488</v>
      </c>
      <c r="B6" s="6" t="s">
        <v>639</v>
      </c>
      <c r="C6" s="6" t="s">
        <v>640</v>
      </c>
      <c r="D6" s="6" t="s">
        <v>641</v>
      </c>
    </row>
    <row r="7" customFormat="false" ht="23.85" hidden="false" customHeight="false" outlineLevel="0" collapsed="false">
      <c r="A7" s="6" t="s">
        <v>491</v>
      </c>
      <c r="B7" s="6" t="s">
        <v>642</v>
      </c>
      <c r="C7" s="6" t="s">
        <v>643</v>
      </c>
      <c r="D7" s="6" t="s">
        <v>644</v>
      </c>
    </row>
    <row r="8" customFormat="false" ht="23.85" hidden="false" customHeight="false" outlineLevel="0" collapsed="false">
      <c r="A8" s="6" t="s">
        <v>645</v>
      </c>
      <c r="B8" s="6" t="s">
        <v>646</v>
      </c>
      <c r="C8" s="6" t="s">
        <v>647</v>
      </c>
      <c r="D8" s="6" t="s">
        <v>648</v>
      </c>
    </row>
    <row r="9" customFormat="false" ht="35.05" hidden="false" customHeight="false" outlineLevel="0" collapsed="false">
      <c r="A9" s="6" t="s">
        <v>649</v>
      </c>
      <c r="B9" s="6" t="s">
        <v>650</v>
      </c>
      <c r="C9" s="6" t="s">
        <v>651</v>
      </c>
      <c r="D9" s="6" t="s">
        <v>652</v>
      </c>
    </row>
    <row r="10" customFormat="false" ht="23.85" hidden="false" customHeight="false" outlineLevel="0" collapsed="false">
      <c r="A10" s="6" t="s">
        <v>653</v>
      </c>
      <c r="B10" s="6" t="s">
        <v>654</v>
      </c>
      <c r="C10" s="6" t="s">
        <v>655</v>
      </c>
      <c r="D10" s="6" t="s">
        <v>656</v>
      </c>
    </row>
    <row r="11" customFormat="false" ht="15" hidden="false" customHeight="false" outlineLevel="0" collapsed="false">
      <c r="A11" s="6" t="s">
        <v>657</v>
      </c>
      <c r="B11" s="6" t="s">
        <v>658</v>
      </c>
      <c r="C11" s="6" t="s">
        <v>659</v>
      </c>
      <c r="D11" s="6" t="s">
        <v>660</v>
      </c>
    </row>
    <row r="12" customFormat="false" ht="23.85" hidden="false" customHeight="false" outlineLevel="0" collapsed="false">
      <c r="A12" s="6" t="s">
        <v>661</v>
      </c>
      <c r="B12" s="6" t="s">
        <v>662</v>
      </c>
      <c r="C12" s="6" t="s">
        <v>663</v>
      </c>
      <c r="D12" s="6" t="s">
        <v>664</v>
      </c>
    </row>
    <row r="13" customFormat="false" ht="23.85" hidden="false" customHeight="false" outlineLevel="0" collapsed="false">
      <c r="A13" s="6" t="s">
        <v>665</v>
      </c>
      <c r="B13" s="6" t="s">
        <v>666</v>
      </c>
      <c r="C13" s="6" t="s">
        <v>667</v>
      </c>
      <c r="D13" s="6" t="s">
        <v>668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2026-10-13T00:50:19Z</dcterms:created>
  <dc:creator>openpyxl</dc:creator>
  <dc:description/>
  <dc:language>en-US</dc:language>
  <cp:lastModifiedBy/>
  <dcterms:modified xsi:type="dcterms:W3CDTF">2026-10-13T00:50:19Z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