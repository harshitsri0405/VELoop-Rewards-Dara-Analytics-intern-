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hange_Log" sheetId="2" state="visible" r:id="rId4"/>
    <sheet name="Process" sheetId="3" state="visible" r:id="rId5"/>
    <sheet name="Classes" sheetId="4" state="visible" r:id="rId6"/>
    <sheet name="Playbook" sheetId="5" state="visible" r:id="rId7"/>
    <sheet name="Impact_Matrix" sheetId="6" state="visible" r:id="rId8"/>
    <sheet name="Versioning" sheetId="7" state="visible" r:id="rId9"/>
    <sheet name="RACI" sheetId="8" state="visible" r:id="rId10"/>
    <sheet name="Change_Request_Template" sheetId="9" state="visible" r:id="rId11"/>
    <sheet name="Document_Version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<sst xmlns="http://schemas.openxmlformats.org/spreadsheetml/2006/main" count="588" uniqueCount="339">
  <si>
    <t xml:space="preserve">VELOOP REWARDS - Task 01 | Work Package Q: Analytics Change Management</t>
  </si>
  <si>
    <t xml:space="preserve">This is a proposed process. No simulated or real VELOOP statistics are included. Dates in the log are entered when each change is approved; the first seven entries record alignment changes made while preparing this document set.</t>
  </si>
  <si>
    <t xml:space="preserve">Principles:</t>
  </si>
  <si>
    <t xml:space="preserve">- Nothing changes silently: every change to an event, field, KPI, dashboard or rule has a log entry, an owner and a version.</t>
  </si>
  <si>
    <t xml:space="preserve">- Classify before acting: a change is Breaking, Compatible or Cosmetic, and the class decides the handling.</t>
  </si>
  <si>
    <t xml:space="preserve">- Find the impact first: use the impact matrix to see which documents, KPIs and dashboards a change touches.</t>
  </si>
  <si>
    <t xml:space="preserve">- Old and new must stay explainable: history is either kept under the old definition or restated and labelled, never mixed unlabelled.</t>
  </si>
  <si>
    <t xml:space="preserve">- Approve by ownership: the data owner approves; the Data Analyst assesses impact; Engineering implements.</t>
  </si>
  <si>
    <t xml:space="preserve">- Keep it light: a shared change log and short change requests are enough at the start.</t>
  </si>
  <si>
    <t xml:space="preserve">Impact matrix key: U = update, R = review, - = not affected.</t>
  </si>
  <si>
    <t xml:space="preserve">Keep or restate rules for history:</t>
  </si>
  <si>
    <t xml:space="preserve">- Keep or restate: when a KPI or event definition changes, either keep history under the old version and start the new one from the change date, or recalculate history under the new definition. Either way the dashboard shows a marker and a label.</t>
  </si>
  <si>
    <t xml:space="preserve">- Overlap period: for a breaking change, old and new run side by side for an overlap period (length to be agreed) so users can compare.</t>
  </si>
  <si>
    <t xml:space="preserve">- Deprecation: a retired event or field is marked Deprecated, still documented, and removed only after consumers have moved and the owner approves.</t>
  </si>
  <si>
    <t xml:space="preserve">- Raw data is never edited to fit a new definition; new logic is applied in the transformation layer, so the old result can be reproduced.</t>
  </si>
  <si>
    <t xml:space="preserve">Open questions:</t>
  </si>
  <si>
    <t xml:space="preserve">- How long should the overlap period be for breaking changes? (No length is set here.)</t>
  </si>
  <si>
    <t xml:space="preserve">- How much notice should dashboard users get before a breaking change?</t>
  </si>
  <si>
    <t xml:space="preserve">- Who approves money-related KPI changes besides Product (Finance, Operations)?</t>
  </si>
  <si>
    <t xml:space="preserve">- Where will the change log live: a shared spreadsheet at first, with the documents under version control?</t>
  </si>
  <si>
    <t xml:space="preserve">- How are dashboard users told about changes (banner, message)?</t>
  </si>
  <si>
    <t xml:space="preserve">Live counts</t>
  </si>
  <si>
    <t xml:space="preserve">Change log entries (incl. drafts)</t>
  </si>
  <si>
    <t xml:space="preserve">Proposed entries</t>
  </si>
  <si>
    <t xml:space="preserve">Triggers in playbook</t>
  </si>
  <si>
    <t xml:space="preserve">Documents with a version</t>
  </si>
  <si>
    <t xml:space="preserve">Date</t>
  </si>
  <si>
    <t xml:space="preserve">Change</t>
  </si>
  <si>
    <t xml:space="preserve">Old Definition</t>
  </si>
  <si>
    <t xml:space="preserve">New Definition</t>
  </si>
  <si>
    <t xml:space="preserve">Reason</t>
  </si>
  <si>
    <t xml:space="preserve">Affected KPIs</t>
  </si>
  <si>
    <t xml:space="preserve">Affected Dashboards</t>
  </si>
  <si>
    <t xml:space="preserve">Affected Reports</t>
  </si>
  <si>
    <t xml:space="preserve">Owner</t>
  </si>
  <si>
    <t xml:space="preserve">Version</t>
  </si>
  <si>
    <t xml:space="preserve">Change ID</t>
  </si>
  <si>
    <t xml:space="preserve">Type</t>
  </si>
  <si>
    <t xml:space="preserve">Class</t>
  </si>
  <si>
    <t xml:space="preserve">Approved By</t>
  </si>
  <si>
    <t xml:space="preserve">Status</t>
  </si>
  <si>
    <t xml:space="preserve">(enter when approved)</t>
  </si>
  <si>
    <t xml:space="preserve">Event Tracking Plan KPI Dependency regenerated from the KPI Catalogue</t>
  </si>
  <si>
    <t xml:space="preserve">Preliminary KPI names; 'Completion Rate' used for both tasks and withdrawals</t>
  </si>
  <si>
    <t xml:space="preserve">KPI names taken from the KPI Catalogue; 'Completion Rate' split into 'Task Completion Rate' and 'Withdrawal Completion Rate'</t>
  </si>
  <si>
    <t xml:space="preserve">Remove ambiguity between two different rates</t>
  </si>
  <si>
    <t xml:space="preserve">E05, D07</t>
  </si>
  <si>
    <t xml:space="preserve">1 (Executive Overview), 3 (Engagement), 6 (Withdrawals)</t>
  </si>
  <si>
    <t xml:space="preserve">None yet</t>
  </si>
  <si>
    <t xml:space="preserve">Data Analyst</t>
  </si>
  <si>
    <t xml:space="preserve">Event Plan 1.1</t>
  </si>
  <si>
    <t xml:space="preserve">CL-001</t>
  </si>
  <si>
    <t xml:space="preserve">Definition</t>
  </si>
  <si>
    <t xml:space="preserve">Compatible</t>
  </si>
  <si>
    <t xml:space="preserve">Product (pending)</t>
  </si>
  <si>
    <t xml:space="preserve">Proposed</t>
  </si>
  <si>
    <t xml:space="preserve">Data Coverage Matrix aligned with the Event Tracking Plan</t>
  </si>
  <si>
    <t xml:space="preserve">36 rows; some event names marked 'to be agreed'</t>
  </si>
  <si>
    <t xml:space="preserve">42 rows; adds account_status_changed, reward_rejected, mining_started, mining_claimed, feature_opened, withdrawal_cancelled; names finalised</t>
  </si>
  <si>
    <t xml:space="preserve">Documents must agree on events, sources, statuses and priorities</t>
  </si>
  <si>
    <t xml:space="preserve">None</t>
  </si>
  <si>
    <t xml:space="preserve">Product Data Audit</t>
  </si>
  <si>
    <t xml:space="preserve">Coverage Matrix 1.1</t>
  </si>
  <si>
    <t xml:space="preserve">CL-002</t>
  </si>
  <si>
    <t xml:space="preserve">Document alignment</t>
  </si>
  <si>
    <t xml:space="preserve">Task-to-reward link designated</t>
  </si>
  <si>
    <t xml:space="preserve">Task_Activity.reward_id and Rewards.task_activity_id both listed with no authority stated</t>
  </si>
  <si>
    <t xml:space="preserve">Rewards.task_activity_id is authoritative; Task_Activity.reward_id is a convenience copy checked by rule DQ034</t>
  </si>
  <si>
    <t xml:space="preserve">Two copies of one link must not disagree</t>
  </si>
  <si>
    <t xml:space="preserve">None directly</t>
  </si>
  <si>
    <t xml:space="preserve">Data Model 1.0 note</t>
  </si>
  <si>
    <t xml:space="preserve">CL-003</t>
  </si>
  <si>
    <t xml:space="preserve">Field</t>
  </si>
  <si>
    <t xml:space="preserve">Event name suffixes removed after catalogue finalised</t>
  </si>
  <si>
    <t xml:space="preserve">wallet_exchange_completed, support_request_created and provider_callback_received marked 'name to be agreed'</t>
  </si>
  <si>
    <t xml:space="preserve">Names used as written; status stays To Be Verified</t>
  </si>
  <si>
    <t xml:space="preserve">Consistency across documents</t>
  </si>
  <si>
    <t xml:space="preserve">W05, S01, S02, T02</t>
  </si>
  <si>
    <t xml:space="preserve">5 (Wallet), 3 (Engagement), 1 (Executive)</t>
  </si>
  <si>
    <t xml:space="preserve">CL-004</t>
  </si>
  <si>
    <t xml:space="preserve">Event</t>
  </si>
  <si>
    <t xml:space="preserve">Assumptions A017 and A043 confirmed and A046 to A050 added after the supplied dataset was received</t>
  </si>
  <si>
    <t xml:space="preserve">A017 and A043 To Be Verified; 45 assumptions</t>
  </si>
  <si>
    <t xml:space="preserve">A017 and A043 Confirmed from the supplied file; 50 assumptions</t>
  </si>
  <si>
    <t xml:space="preserve">Dataset evidence resolved two unknowns and raised five new ones</t>
  </si>
  <si>
    <t xml:space="preserve">Assumption Register</t>
  </si>
  <si>
    <t xml:space="preserve">Register 1.1</t>
  </si>
  <si>
    <t xml:space="preserve">CL-005</t>
  </si>
  <si>
    <t xml:space="preserve">Assumption</t>
  </si>
  <si>
    <t xml:space="preserve">Readiness raised from R1 to R2 for the data dictionary, KPI definitions and data quality</t>
  </si>
  <si>
    <t xml:space="preserve">All ten areas at R1 (designed on paper)</t>
  </si>
  <si>
    <t xml:space="preserve">Three areas at R2 (checked against the supplied Users dataset); seven remain at R1</t>
  </si>
  <si>
    <t xml:space="preserve">The Users data was profiled, audited and used for the KPI test</t>
  </si>
  <si>
    <t xml:space="preserve">All (KPI test)</t>
  </si>
  <si>
    <t xml:space="preserve">Analytics Readiness Assessment</t>
  </si>
  <si>
    <t xml:space="preserve">Readiness 1.1</t>
  </si>
  <si>
    <t xml:space="preserve">CL-006</t>
  </si>
  <si>
    <t xml:space="preserve">Readiness</t>
  </si>
  <si>
    <t xml:space="preserve">Quality rules DQ040 to DQ042 proposed by the Data Quality Audit</t>
  </si>
  <si>
    <t xml:space="preserve">39 rules in the Data Quality Control Framework</t>
  </si>
  <si>
    <t xml:space="preserve">39 rules plus 3 proposed (derived-field consistency, counter consistency, consent consistency); DQ013 and DQ039 extensions proposed</t>
  </si>
  <si>
    <t xml:space="preserve">The audit found problems that existing rules cannot detect</t>
  </si>
  <si>
    <t xml:space="preserve">Data Quality Control Framework (not yet updated)</t>
  </si>
  <si>
    <t xml:space="preserve">Quality Framework 1.1 (proposed)</t>
  </si>
  <si>
    <t xml:space="preserve">CL-007</t>
  </si>
  <si>
    <t xml:space="preserve">Rule</t>
  </si>
  <si>
    <t xml:space="preserve">(next change)</t>
  </si>
  <si>
    <t xml:space="preserve">CL-008</t>
  </si>
  <si>
    <t xml:space="preserve">Draft</t>
  </si>
  <si>
    <t xml:space="preserve">CL-009</t>
  </si>
  <si>
    <t xml:space="preserve">Step</t>
  </si>
  <si>
    <t xml:space="preserve">Action</t>
  </si>
  <si>
    <t xml:space="preserve">Who</t>
  </si>
  <si>
    <t xml:space="preserve">Output</t>
  </si>
  <si>
    <t xml:space="preserve">1</t>
  </si>
  <si>
    <t xml:space="preserve">Propose the change with a short change request</t>
  </si>
  <si>
    <t xml:space="preserve">Anyone</t>
  </si>
  <si>
    <t xml:space="preserve">Change request (template below)</t>
  </si>
  <si>
    <t xml:space="preserve">2</t>
  </si>
  <si>
    <t xml:space="preserve">Assess impact using the impact matrix and the dependency lists in each document</t>
  </si>
  <si>
    <t xml:space="preserve">List of affected events, fields, KPIs, dashboards, reports and rules</t>
  </si>
  <si>
    <t xml:space="preserve">3</t>
  </si>
  <si>
    <t xml:space="preserve">Classify the change as Breaking, Compatible or Cosmetic</t>
  </si>
  <si>
    <t xml:space="preserve">Class and version impact</t>
  </si>
  <si>
    <t xml:space="preserve">4</t>
  </si>
  <si>
    <t xml:space="preserve">Approve, reject or defer</t>
  </si>
  <si>
    <t xml:space="preserve">Data owner (Product); Finance consulted for money KPIs</t>
  </si>
  <si>
    <t xml:space="preserve">Decision recorded</t>
  </si>
  <si>
    <t xml:space="preserve">5</t>
  </si>
  <si>
    <t xml:space="preserve">Implement in order: reference data and events, then pipeline and rules, then KPIs, then dashboards</t>
  </si>
  <si>
    <t xml:space="preserve">Engineering, Data Analyst</t>
  </si>
  <si>
    <t xml:space="preserve">Changed artifacts</t>
  </si>
  <si>
    <t xml:space="preserve">6</t>
  </si>
  <si>
    <t xml:space="preserve">Test with the acceptance tests and quality rules affected</t>
  </si>
  <si>
    <t xml:space="preserve">Data Analyst, Engineering</t>
  </si>
  <si>
    <t xml:space="preserve">Test result</t>
  </si>
  <si>
    <t xml:space="preserve">7</t>
  </si>
  <si>
    <t xml:space="preserve">Release with a new version and tell affected users</t>
  </si>
  <si>
    <t xml:space="preserve">Release note</t>
  </si>
  <si>
    <t xml:space="preserve">8</t>
  </si>
  <si>
    <t xml:space="preserve">Update the change log and every affected document</t>
  </si>
  <si>
    <t xml:space="preserve">Log entry, updated documents</t>
  </si>
  <si>
    <t xml:space="preserve">9</t>
  </si>
  <si>
    <t xml:space="preserve">Review after release: did KPIs and dashboards behave as expected?</t>
  </si>
  <si>
    <t xml:space="preserve">Follow-up actions</t>
  </si>
  <si>
    <t xml:space="preserve">Meaning</t>
  </si>
  <si>
    <t xml:space="preserve">Examples</t>
  </si>
  <si>
    <t xml:space="preserve">Handling</t>
  </si>
  <si>
    <t xml:space="preserve">Version effect</t>
  </si>
  <si>
    <t xml:space="preserve">Breaking</t>
  </si>
  <si>
    <t xml:space="preserve">Existing reports or consumers could give different or wrong results</t>
  </si>
  <si>
    <t xml:space="preserve">Rename or remove an event or field; change what a status or unit means; change a KPI formula; change the activation rule; change how an amount is signed</t>
  </si>
  <si>
    <t xml:space="preserve">Impact assessment required; announce before release; run old and new side by side for an overlap period or restate history with a label (lengths to be agreed)</t>
  </si>
  <si>
    <t xml:space="preserve">Major version</t>
  </si>
  <si>
    <t xml:space="preserve">Adds something without changing existing meaning</t>
  </si>
  <si>
    <t xml:space="preserve">New event; new optional property; new allowed value that consumers tolerate; new KPI; new dashboard visual</t>
  </si>
  <si>
    <t xml:space="preserve">Impact check; update documents; no restatement</t>
  </si>
  <si>
    <t xml:space="preserve">Minor version</t>
  </si>
  <si>
    <t xml:space="preserve">Cosmetic</t>
  </si>
  <si>
    <t xml:space="preserve">Wording or layout only; no effect on data or numbers</t>
  </si>
  <si>
    <t xml:space="preserve">Better description; dashboard layout or colour; typo fix</t>
  </si>
  <si>
    <t xml:space="preserve">Log entry only</t>
  </si>
  <si>
    <t xml:space="preserve">Patch (no data effect)</t>
  </si>
  <si>
    <t xml:space="preserve">Trigger</t>
  </si>
  <si>
    <t xml:space="preserve">What Usually Changes</t>
  </si>
  <si>
    <t xml:space="preserve">Must Be Reviewed or Updated</t>
  </si>
  <si>
    <t xml:space="preserve">Class (typical)</t>
  </si>
  <si>
    <t xml:space="preserve">Special Handling</t>
  </si>
  <si>
    <t xml:space="preserve">Approval</t>
  </si>
  <si>
    <t xml:space="preserve">A feature changes</t>
  </si>
  <si>
    <t xml:space="preserve">Events, states and fields for that feature</t>
  </si>
  <si>
    <t xml:space="preserve">Event Tracking Plan, dictionary, KPI formulas that use the feature, dashboards, acceptance tests</t>
  </si>
  <si>
    <t xml:space="preserve">Compatible or Breaking</t>
  </si>
  <si>
    <t xml:space="preserve">Confirm which events still make sense; retire events of removed features</t>
  </si>
  <si>
    <t xml:space="preserve">Product</t>
  </si>
  <si>
    <t xml:space="preserve">An event changes (new, modified, removed, renamed)</t>
  </si>
  <si>
    <t xml:space="preserve">Name, trigger, required properties or meaning</t>
  </si>
  <si>
    <t xml:space="preserve">Event Tracking Plan, dictionary, quality rules (DQ020, DQ022), developer handoff, KPI dependencies, pipeline validation</t>
  </si>
  <si>
    <t xml:space="preserve">Compatible if added; Breaking if renamed, removed or redefined</t>
  </si>
  <si>
    <t xml:space="preserve">Renaming is a new event plus a deprecation of the old; keep emitting both for the overlap period; bump schema_version</t>
  </si>
  <si>
    <t xml:space="preserve">Product (owner); Engineering confirms</t>
  </si>
  <si>
    <t xml:space="preserve">A reward mechanic changes</t>
  </si>
  <si>
    <t xml:space="preserve">Amounts, units, validation, pending or reversal rules</t>
  </si>
  <si>
    <t xml:space="preserve">Reward and wallet fields, reward units list, KPIs R01 to R07 and W02, dashboards 4 and 5, reconciliation rules DQ030 and DQ034</t>
  </si>
  <si>
    <t xml:space="preserve">Breaking if meaning or unit changes</t>
  </si>
  <si>
    <t xml:space="preserve">Record the date the mechanic applies from; compare periods only within one mechanic or label the change on charts</t>
  </si>
  <si>
    <t xml:space="preserve">Finance and Product</t>
  </si>
  <si>
    <t xml:space="preserve">A withdrawal method changes</t>
  </si>
  <si>
    <t xml:space="preserve">Allowed method values, states, processing steps, reason categories</t>
  </si>
  <si>
    <t xml:space="preserve">Approved lists, withdrawal fields and states, KPIs D01 to D10, dashboard 6, transition rules DQ026</t>
  </si>
  <si>
    <t xml:space="preserve">Compatible if a method is added; Breaking if states or meaning change</t>
  </si>
  <si>
    <t xml:space="preserve">Add the value to the approved list before release so events are not quarantined; mark the date on trend charts</t>
  </si>
  <si>
    <t xml:space="preserve">Operations and Finance</t>
  </si>
  <si>
    <t xml:space="preserve">A field is renamed</t>
  </si>
  <si>
    <t xml:space="preserve">Column name in operational and analytics tables</t>
  </si>
  <si>
    <t xml:space="preserve">Dictionary, logical data model, event properties, payload spec, KPI required fields, quality rules, pipeline jobs</t>
  </si>
  <si>
    <t xml:space="preserve">Prefer adding the new field and deprecating the old; map names in the transformation layer until consumers move</t>
  </si>
  <si>
    <t xml:space="preserve">Data owner; Engineering</t>
  </si>
  <si>
    <t xml:space="preserve">A KPI definition changes</t>
  </si>
  <si>
    <t xml:space="preserve">Formula, filter, period or denominator</t>
  </si>
  <si>
    <t xml:space="preserve">KPI Catalogue, dashboard visuals, pipeline views, any report quoting it</t>
  </si>
  <si>
    <t xml:space="preserve">New KPI version; label dashboards 'definition vN applies from the change date'; keep old values under the old version or restate history, with a label</t>
  </si>
  <si>
    <t xml:space="preserve">Product; Finance for money KPIs</t>
  </si>
  <si>
    <t xml:space="preserve">A dashboard changes</t>
  </si>
  <si>
    <t xml:space="preserve">Layout, filters, visuals</t>
  </si>
  <si>
    <t xml:space="preserve">Dashboard blueprint, KPI mapping, access rules</t>
  </si>
  <si>
    <t xml:space="preserve">Cosmetic or Compatible; Breaking if a visual's calculation changes</t>
  </si>
  <si>
    <t xml:space="preserve">Any change to a calculation is a KPI change, not a dashboard change</t>
  </si>
  <si>
    <t xml:space="preserve">A new feature launches (added)</t>
  </si>
  <si>
    <t xml:space="preserve">New events, fields, KPIs</t>
  </si>
  <si>
    <t xml:space="preserve">Registers, event plan, dictionary, logical model, KPI Catalogue, quality rules, dashboards, handoff</t>
  </si>
  <si>
    <t xml:space="preserve">Move assumptions from To Be Verified to Confirmed only with evidence</t>
  </si>
  <si>
    <t xml:space="preserve">A third-party provider changes (added)</t>
  </si>
  <si>
    <t xml:space="preserve">Callbacks, statuses, reference ids</t>
  </si>
  <si>
    <t xml:space="preserve">Provider fields, failure categories, reliability KPI T02, pipeline handling</t>
  </si>
  <si>
    <t xml:space="preserve">Keep VELOOP status and provider status separate; reconcile with the provider's report</t>
  </si>
  <si>
    <t xml:space="preserve">Engineering and Product</t>
  </si>
  <si>
    <t xml:space="preserve">S1 Registers</t>
  </si>
  <si>
    <t xml:space="preserve">08 Event Plan</t>
  </si>
  <si>
    <t xml:space="preserve">09 Dictionary</t>
  </si>
  <si>
    <t xml:space="preserve">10 Data Model</t>
  </si>
  <si>
    <t xml:space="preserve">11 KPI Catalogue</t>
  </si>
  <si>
    <t xml:space="preserve">S2 Quality Rules</t>
  </si>
  <si>
    <t xml:space="preserve">14 Dashboards</t>
  </si>
  <si>
    <t xml:space="preserve">15 Dev Handoff</t>
  </si>
  <si>
    <t xml:space="preserve">16 Pipeline</t>
  </si>
  <si>
    <t xml:space="preserve">Event schema_version</t>
  </si>
  <si>
    <t xml:space="preserve">U</t>
  </si>
  <si>
    <t xml:space="preserve">R</t>
  </si>
  <si>
    <t xml:space="preserve">-</t>
  </si>
  <si>
    <t xml:space="preserve">An event changes</t>
  </si>
  <si>
    <t xml:space="preserve">A new feature launches</t>
  </si>
  <si>
    <t xml:space="preserve">A third-party provider changes</t>
  </si>
  <si>
    <t xml:space="preserve">Object</t>
  </si>
  <si>
    <t xml:space="preserve">Version Scheme</t>
  </si>
  <si>
    <t xml:space="preserve">Where Kept</t>
  </si>
  <si>
    <t xml:space="preserve">Illustrative Example</t>
  </si>
  <si>
    <t xml:space="preserve">Event definition</t>
  </si>
  <si>
    <t xml:space="preserve">Event schema_version in every payload carries the major version only; minor changes are recorded in the catalogue</t>
  </si>
  <si>
    <t xml:space="preserve">Event Tracking Plan; every event payload</t>
  </si>
  <si>
    <t xml:space="preserve">schema_version = 2 after a breaking change</t>
  </si>
  <si>
    <t xml:space="preserve">KPI</t>
  </si>
  <si>
    <t xml:space="preserve">KPI ID with a version: major.minor</t>
  </si>
  <si>
    <t xml:space="preserve">KPI Catalogue and dashboard tooltip</t>
  </si>
  <si>
    <t xml:space="preserve">E05 v1.0, then E05 v2.0 if the formula changes</t>
  </si>
  <si>
    <t xml:space="preserve">Data dictionary and logical model</t>
  </si>
  <si>
    <t xml:space="preserve">One document version, major.minor</t>
  </si>
  <si>
    <t xml:space="preserve">Document header and change log</t>
  </si>
  <si>
    <t xml:space="preserve">Dictionary v1.1 after a field is added</t>
  </si>
  <si>
    <t xml:space="preserve">Quality rule</t>
  </si>
  <si>
    <t xml:space="preserve">Rule ID with a revision</t>
  </si>
  <si>
    <t xml:space="preserve">Quality framework</t>
  </si>
  <si>
    <t xml:space="preserve">DQ013 rev 2</t>
  </si>
  <si>
    <t xml:space="preserve">Dashboard</t>
  </si>
  <si>
    <t xml:space="preserve">Dashboard version, major.minor</t>
  </si>
  <si>
    <t xml:space="preserve">Dashboard blueprint</t>
  </si>
  <si>
    <t xml:space="preserve">Executive Overview v1.2</t>
  </si>
  <si>
    <t xml:space="preserve">Approved lists</t>
  </si>
  <si>
    <t xml:space="preserve">Version of the reference table</t>
  </si>
  <si>
    <t xml:space="preserve">Reference data</t>
  </si>
  <si>
    <t xml:space="preserve">Withdrawal methods list v3</t>
  </si>
  <si>
    <t xml:space="preserve">Activity</t>
  </si>
  <si>
    <t xml:space="preserve">Engineering</t>
  </si>
  <si>
    <t xml:space="preserve">Product (data owner)</t>
  </si>
  <si>
    <t xml:space="preserve">Finance / Operations</t>
  </si>
  <si>
    <t xml:space="preserve">Raise a change request</t>
  </si>
  <si>
    <t xml:space="preserve">I</t>
  </si>
  <si>
    <t xml:space="preserve">Assess impact and classify</t>
  </si>
  <si>
    <t xml:space="preserve">C</t>
  </si>
  <si>
    <t xml:space="preserve">A/R</t>
  </si>
  <si>
    <t xml:space="preserve">Approve or reject</t>
  </si>
  <si>
    <t xml:space="preserve">Implement events, fields and reference data</t>
  </si>
  <si>
    <t xml:space="preserve">Implement KPI, rule and dashboard changes</t>
  </si>
  <si>
    <t xml:space="preserve">Test and verify</t>
  </si>
  <si>
    <t xml:space="preserve">Release note and notify users</t>
  </si>
  <si>
    <t xml:space="preserve">Update the change log and documents</t>
  </si>
  <si>
    <t xml:space="preserve">What to Enter</t>
  </si>
  <si>
    <t xml:space="preserve">Change request ID</t>
  </si>
  <si>
    <t xml:space="preserve">CR-###</t>
  </si>
  <si>
    <t xml:space="preserve">Title</t>
  </si>
  <si>
    <t xml:space="preserve">Short name of the change</t>
  </si>
  <si>
    <t xml:space="preserve">Raised by and date</t>
  </si>
  <si>
    <t xml:space="preserve">Name and date</t>
  </si>
  <si>
    <t xml:space="preserve">Trigger type</t>
  </si>
  <si>
    <t xml:space="preserve">Feature, event, reward mechanic, withdrawal method, field rename, KPI, dashboard, new feature or provider</t>
  </si>
  <si>
    <t xml:space="preserve">Description</t>
  </si>
  <si>
    <t xml:space="preserve">What changes, in plain words</t>
  </si>
  <si>
    <t xml:space="preserve">Why the change is needed</t>
  </si>
  <si>
    <t xml:space="preserve">Old definition</t>
  </si>
  <si>
    <t xml:space="preserve">Exact current definition</t>
  </si>
  <si>
    <t xml:space="preserve">New definition</t>
  </si>
  <si>
    <t xml:space="preserve">Exact proposed definition</t>
  </si>
  <si>
    <t xml:space="preserve">Affected artifacts</t>
  </si>
  <si>
    <t xml:space="preserve">Use the impact matrix: documents, events, fields, KPIs, dashboards, reports, rules</t>
  </si>
  <si>
    <t xml:space="preserve">Breaking, Compatible or Cosmetic</t>
  </si>
  <si>
    <t xml:space="preserve">History handling</t>
  </si>
  <si>
    <t xml:space="preserve">Keep old, restate, or overlap period</t>
  </si>
  <si>
    <t xml:space="preserve">Approver and decision</t>
  </si>
  <si>
    <t xml:space="preserve">Data owner and result</t>
  </si>
  <si>
    <t xml:space="preserve">Version after release</t>
  </si>
  <si>
    <t xml:space="preserve">For example 1.2 or 2.0</t>
  </si>
  <si>
    <t xml:space="preserve">Test evidence</t>
  </si>
  <si>
    <t xml:space="preserve">Acceptance tests and quality rules run</t>
  </si>
  <si>
    <t xml:space="preserve">Document</t>
  </si>
  <si>
    <t xml:space="preserve">Alignment Notes</t>
  </si>
  <si>
    <t xml:space="preserve">Source and Verification Register</t>
  </si>
  <si>
    <t xml:space="preserve">1.0</t>
  </si>
  <si>
    <t xml:space="preserve">Baseline; superseded for assumptions by the Assumption Register</t>
  </si>
  <si>
    <t xml:space="preserve">1.1</t>
  </si>
  <si>
    <t xml:space="preserve">Text updated to match the 42-row matrix</t>
  </si>
  <si>
    <t xml:space="preserve">Data Coverage Matrix</t>
  </si>
  <si>
    <t xml:space="preserve">Aligned with the Event Tracking Plan (CL-002)</t>
  </si>
  <si>
    <t xml:space="preserve">User Analytics Specification</t>
  </si>
  <si>
    <t xml:space="preserve">Baseline</t>
  </si>
  <si>
    <t xml:space="preserve">Earning and Reward Analytics Specification</t>
  </si>
  <si>
    <t xml:space="preserve">Wallet and Withdrawal Analytics Specification</t>
  </si>
  <si>
    <t xml:space="preserve">Referral and Engagement Analytics</t>
  </si>
  <si>
    <t xml:space="preserve">Event Tracking Plan</t>
  </si>
  <si>
    <t xml:space="preserve">KPI Dependency regenerated from the KPI Catalogue (CL-001, CL-004)</t>
  </si>
  <si>
    <t xml:space="preserve">Data Dictionary</t>
  </si>
  <si>
    <t xml:space="preserve">Logical Data Model and ER Diagram</t>
  </si>
  <si>
    <t xml:space="preserve">Link authority noted (CL-003)</t>
  </si>
  <si>
    <t xml:space="preserve">KPI Catalogue</t>
  </si>
  <si>
    <t xml:space="preserve">Data Quality Control Framework</t>
  </si>
  <si>
    <t xml:space="preserve">Baseline; DQ040 to DQ042 proposed (CL-007)</t>
  </si>
  <si>
    <t xml:space="preserve">Dashboard Blueprint</t>
  </si>
  <si>
    <t xml:space="preserve">Developer Analytics Handoff</t>
  </si>
  <si>
    <t xml:space="preserve">Data Pipeline Proposal</t>
  </si>
  <si>
    <t xml:space="preserve">Privacy and Governance Proposal</t>
  </si>
  <si>
    <t xml:space="preserve">Simulated Data Profiling</t>
  </si>
  <si>
    <t xml:space="preserve">Baseline; describes the supplied simulated Users dataset only</t>
  </si>
  <si>
    <t xml:space="preserve">Data Quality Audit</t>
  </si>
  <si>
    <t xml:space="preserve">Assumption and Verification Register</t>
  </si>
  <si>
    <t xml:space="preserve">A017 and A043 confirmed; A046 to A050 added (CL-005)</t>
  </si>
  <si>
    <t xml:space="preserve">Three areas raised to R2 (CL-006)</t>
  </si>
  <si>
    <t xml:space="preserve">Implementation Backlog</t>
  </si>
  <si>
    <t xml:space="preserve">Items added for datasets, derived fields and data minimisation</t>
  </si>
  <si>
    <t xml:space="preserve">Executive Summary and Final Consolidated Report</t>
  </si>
  <si>
    <t xml:space="preserve">Updated for the dataset results</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</si>
</sst>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11"/>
      <name val="Arial"/>
      <family val="0"/>
      <charset val="1"/>
    </font>
    <font>
      <b val="true"/>
      <sz val="10"/>
      <color rgb="FFFFFFFF"/>
      <name val="Arial"/>
      <family val="0"/>
      <charset val="1"/>
    </font>
  </fonts>
  <fills count="6">
    <fill>
      <patternFill patternType="none"/>
    </fill>
    <fill>
      <patternFill patternType="gray125"/>
    </fill>
    <fill>
      <patternFill patternType="solid">
        <fgColor rgb="FF1F3A5F"/>
        <bgColor rgb="FF333333"/>
      </patternFill>
    </fill>
    <fill>
      <patternFill patternType="solid">
        <fgColor rgb="FFFFEB9C"/>
        <bgColor rgb="FFF8CBAD"/>
      </patternFill>
    </fill>
    <fill>
      <patternFill patternType="solid">
        <fgColor rgb="FFEDEDED"/>
        <bgColor rgb="FFFFFFFF"/>
      </patternFill>
    </fill>
    <fill>
      <patternFill patternType="solid">
        <fgColor rgb="FFF8CBAD"/>
        <bgColor rgb="FFFFEB9C"/>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EDEDE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EB9C"/>
      <rgbColor rgb="FF99CCFF"/>
      <rgbColor rgb="FFFF99CC"/>
      <rgbColor rgb="FFCC99FF"/>
      <rgbColor rgb="FFF8CBAD"/>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 collapsed="false" customWidth="true" hidden="false" outlineLevel="0" max="2" min="2" style="0" width="10"/>
  </cols>
  <sheetData>
    <row r="1" customFormat="false" ht="15" hidden="false" customHeight="false" outlineLevel="0" collapsed="false">
      <c r="A1" s="1" t="s">
        <v>0</v>
      </c>
    </row>
    <row r="2" customFormat="false" ht="23.8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t="s">
        <v>8</v>
      </c>
    </row>
    <row r="11" customFormat="false" ht="15" hidden="false" customHeight="false" outlineLevel="0" collapsed="false">
      <c r="A11" s="2"/>
    </row>
    <row r="12" customFormat="false" ht="15" hidden="false" customHeight="false" outlineLevel="0" collapsed="false">
      <c r="A12" s="2" t="s">
        <v>9</v>
      </c>
    </row>
    <row r="13" customFormat="false" ht="15" hidden="false" customHeight="false" outlineLevel="0" collapsed="false">
      <c r="A13" s="2"/>
    </row>
    <row r="14" customFormat="false" ht="15" hidden="false" customHeight="false" outlineLevel="0" collapsed="false">
      <c r="A14" s="3" t="s">
        <v>10</v>
      </c>
    </row>
    <row r="15" customFormat="false" ht="23.85" hidden="false" customHeight="false" outlineLevel="0" collapsed="false">
      <c r="A15" s="2" t="s">
        <v>11</v>
      </c>
    </row>
    <row r="16" customFormat="false" ht="15" hidden="false" customHeight="false" outlineLevel="0" collapsed="false">
      <c r="A16" s="2" t="s">
        <v>12</v>
      </c>
    </row>
    <row r="17" customFormat="false" ht="23.85" hidden="false" customHeight="false" outlineLevel="0" collapsed="false">
      <c r="A17" s="2" t="s">
        <v>13</v>
      </c>
    </row>
    <row r="18" customFormat="false" ht="15" hidden="false" customHeight="false" outlineLevel="0" collapsed="false">
      <c r="A18" s="2" t="s">
        <v>14</v>
      </c>
    </row>
    <row r="19" customFormat="false" ht="15" hidden="false" customHeight="false" outlineLevel="0" collapsed="false">
      <c r="A19" s="2"/>
    </row>
    <row r="20" customFormat="false" ht="15" hidden="false" customHeight="false" outlineLevel="0" collapsed="false">
      <c r="A20" s="3" t="s">
        <v>15</v>
      </c>
    </row>
    <row r="21" customFormat="false" ht="15" hidden="false" customHeight="false" outlineLevel="0" collapsed="false">
      <c r="A21" s="2" t="s">
        <v>16</v>
      </c>
    </row>
    <row r="22" customFormat="false" ht="15" hidden="false" customHeight="false" outlineLevel="0" collapsed="false">
      <c r="A22" s="2" t="s">
        <v>17</v>
      </c>
    </row>
    <row r="23" customFormat="false" ht="15" hidden="false" customHeight="false" outlineLevel="0" collapsed="false">
      <c r="A23" s="2" t="s">
        <v>18</v>
      </c>
    </row>
    <row r="24" customFormat="false" ht="15" hidden="false" customHeight="false" outlineLevel="0" collapsed="false">
      <c r="A24" s="2" t="s">
        <v>19</v>
      </c>
    </row>
    <row r="25" customFormat="false" ht="15" hidden="false" customHeight="false" outlineLevel="0" collapsed="false">
      <c r="A25" s="2" t="s">
        <v>20</v>
      </c>
    </row>
    <row r="27" customFormat="false" ht="15" hidden="false" customHeight="false" outlineLevel="0" collapsed="false">
      <c r="A27" s="4" t="s">
        <v>21</v>
      </c>
    </row>
    <row r="28" customFormat="false" ht="15" hidden="false" customHeight="false" outlineLevel="0" collapsed="false">
      <c r="A28" s="5" t="s">
        <v>22</v>
      </c>
      <c r="B28" s="5" t="n">
        <f aca="false">COUNTA(Change_Log!K:K)-1</f>
        <v>9</v>
      </c>
    </row>
    <row r="29" customFormat="false" ht="15" hidden="false" customHeight="false" outlineLevel="0" collapsed="false">
      <c r="A29" s="5" t="s">
        <v>23</v>
      </c>
      <c r="B29" s="5" t="n">
        <f aca="false">COUNTIF(Change_Log!O:O,"Proposed")</f>
        <v>7</v>
      </c>
    </row>
    <row r="30" customFormat="false" ht="15" hidden="false" customHeight="false" outlineLevel="0" collapsed="false">
      <c r="A30" s="5" t="s">
        <v>24</v>
      </c>
      <c r="B30" s="5" t="n">
        <f aca="false">COUNTA(Playbook!A:A)-1</f>
        <v>9</v>
      </c>
    </row>
    <row r="31" customFormat="false" ht="15" hidden="false" customHeight="false" outlineLevel="0" collapsed="false">
      <c r="A31" s="5" t="s">
        <v>25</v>
      </c>
      <c r="B31" s="5" t="n">
        <f aca="false">COUNTA(Document_Versions!A:A)-1</f>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40"/>
    <col collapsed="false" customWidth="true" hidden="false" outlineLevel="0" max="4" min="4" style="0" width="48"/>
    <col collapsed="false" customWidth="true" hidden="false" outlineLevel="0" max="5" min="5" style="0" width="34"/>
    <col collapsed="false" customWidth="true" hidden="false" outlineLevel="0" max="6" min="6" style="0" width="16"/>
    <col collapsed="false" customWidth="true" hidden="false" outlineLevel="0" max="7" min="7" style="0" width="28"/>
    <col collapsed="false" customWidth="true" hidden="false" outlineLevel="0" max="8" min="8" style="0" width="20"/>
    <col collapsed="false" customWidth="true" hidden="false" outlineLevel="0" max="9" min="9" style="0" width="14"/>
    <col collapsed="false" customWidth="true" hidden="false" outlineLevel="0" max="10" min="10" style="0" width="16"/>
    <col collapsed="false" customWidth="true" hidden="false" outlineLevel="0" max="11" min="11" style="0" width="10"/>
    <col collapsed="false" customWidth="true" hidden="false" outlineLevel="0" max="12" min="12" style="0" width="16"/>
    <col collapsed="false" customWidth="true" hidden="false" outlineLevel="0" max="13" min="13" style="0" width="12"/>
    <col collapsed="false" customWidth="true" hidden="false" outlineLevel="0" max="14" min="14" style="0" width="18"/>
    <col collapsed="false" customWidth="true" hidden="false" outlineLevel="0" max="15" min="15" style="0" width="12"/>
  </cols>
  <sheetData>
    <row r="1" customFormat="false" ht="15" hidden="false" customHeight="false" outlineLevel="0" collapsed="false">
      <c r="A1" s="6" t="s">
        <v>26</v>
      </c>
      <c r="B1" s="6" t="s">
        <v>27</v>
      </c>
      <c r="C1" s="6" t="s">
        <v>28</v>
      </c>
      <c r="D1" s="6" t="s">
        <v>29</v>
      </c>
      <c r="E1" s="6" t="s">
        <v>30</v>
      </c>
      <c r="F1" s="6" t="s">
        <v>31</v>
      </c>
      <c r="G1" s="6" t="s">
        <v>32</v>
      </c>
      <c r="H1" s="6" t="s">
        <v>33</v>
      </c>
      <c r="I1" s="6" t="s">
        <v>34</v>
      </c>
      <c r="J1" s="6" t="s">
        <v>35</v>
      </c>
      <c r="K1" s="6" t="s">
        <v>36</v>
      </c>
      <c r="L1" s="6" t="s">
        <v>37</v>
      </c>
      <c r="M1" s="6" t="s">
        <v>38</v>
      </c>
      <c r="N1" s="6" t="s">
        <v>39</v>
      </c>
      <c r="O1" s="6" t="s">
        <v>40</v>
      </c>
    </row>
    <row r="2" customFormat="false" ht="35.05" hidden="false" customHeight="false" outlineLevel="0" collapsed="false">
      <c r="A2" s="7" t="s">
        <v>41</v>
      </c>
      <c r="B2" s="7" t="s">
        <v>42</v>
      </c>
      <c r="C2" s="7" t="s">
        <v>43</v>
      </c>
      <c r="D2" s="7" t="s">
        <v>44</v>
      </c>
      <c r="E2" s="7" t="s">
        <v>45</v>
      </c>
      <c r="F2" s="7" t="s">
        <v>46</v>
      </c>
      <c r="G2" s="7" t="s">
        <v>47</v>
      </c>
      <c r="H2" s="7" t="s">
        <v>48</v>
      </c>
      <c r="I2" s="7" t="s">
        <v>49</v>
      </c>
      <c r="J2" s="7" t="s">
        <v>50</v>
      </c>
      <c r="K2" s="7" t="s">
        <v>51</v>
      </c>
      <c r="L2" s="7" t="s">
        <v>52</v>
      </c>
      <c r="M2" s="7" t="s">
        <v>53</v>
      </c>
      <c r="N2" s="7" t="s">
        <v>54</v>
      </c>
      <c r="O2" s="8" t="s">
        <v>55</v>
      </c>
    </row>
    <row r="3" customFormat="false" ht="35.05" hidden="false" customHeight="false" outlineLevel="0" collapsed="false">
      <c r="A3" s="7" t="s">
        <v>41</v>
      </c>
      <c r="B3" s="7" t="s">
        <v>56</v>
      </c>
      <c r="C3" s="7" t="s">
        <v>57</v>
      </c>
      <c r="D3" s="7" t="s">
        <v>58</v>
      </c>
      <c r="E3" s="7" t="s">
        <v>59</v>
      </c>
      <c r="F3" s="7" t="s">
        <v>60</v>
      </c>
      <c r="G3" s="7" t="s">
        <v>60</v>
      </c>
      <c r="H3" s="7" t="s">
        <v>61</v>
      </c>
      <c r="I3" s="7" t="s">
        <v>49</v>
      </c>
      <c r="J3" s="7" t="s">
        <v>62</v>
      </c>
      <c r="K3" s="7" t="s">
        <v>63</v>
      </c>
      <c r="L3" s="7" t="s">
        <v>64</v>
      </c>
      <c r="M3" s="7" t="s">
        <v>53</v>
      </c>
      <c r="N3" s="7" t="s">
        <v>54</v>
      </c>
      <c r="O3" s="8" t="s">
        <v>55</v>
      </c>
    </row>
    <row r="4" customFormat="false" ht="35.05" hidden="false" customHeight="false" outlineLevel="0" collapsed="false">
      <c r="A4" s="7" t="s">
        <v>41</v>
      </c>
      <c r="B4" s="7" t="s">
        <v>65</v>
      </c>
      <c r="C4" s="7" t="s">
        <v>66</v>
      </c>
      <c r="D4" s="7" t="s">
        <v>67</v>
      </c>
      <c r="E4" s="7" t="s">
        <v>68</v>
      </c>
      <c r="F4" s="7" t="s">
        <v>69</v>
      </c>
      <c r="G4" s="7" t="s">
        <v>60</v>
      </c>
      <c r="H4" s="7" t="s">
        <v>60</v>
      </c>
      <c r="I4" s="7" t="s">
        <v>49</v>
      </c>
      <c r="J4" s="7" t="s">
        <v>70</v>
      </c>
      <c r="K4" s="7" t="s">
        <v>71</v>
      </c>
      <c r="L4" s="7" t="s">
        <v>72</v>
      </c>
      <c r="M4" s="7" t="s">
        <v>53</v>
      </c>
      <c r="N4" s="7" t="s">
        <v>54</v>
      </c>
      <c r="O4" s="8" t="s">
        <v>55</v>
      </c>
    </row>
    <row r="5" customFormat="false" ht="46.25" hidden="false" customHeight="false" outlineLevel="0" collapsed="false">
      <c r="A5" s="7" t="s">
        <v>41</v>
      </c>
      <c r="B5" s="7" t="s">
        <v>73</v>
      </c>
      <c r="C5" s="7" t="s">
        <v>74</v>
      </c>
      <c r="D5" s="7" t="s">
        <v>75</v>
      </c>
      <c r="E5" s="7" t="s">
        <v>76</v>
      </c>
      <c r="F5" s="7" t="s">
        <v>77</v>
      </c>
      <c r="G5" s="7" t="s">
        <v>78</v>
      </c>
      <c r="H5" s="7" t="s">
        <v>60</v>
      </c>
      <c r="I5" s="7" t="s">
        <v>49</v>
      </c>
      <c r="J5" s="7" t="s">
        <v>50</v>
      </c>
      <c r="K5" s="7" t="s">
        <v>79</v>
      </c>
      <c r="L5" s="7" t="s">
        <v>80</v>
      </c>
      <c r="M5" s="7" t="s">
        <v>53</v>
      </c>
      <c r="N5" s="7" t="s">
        <v>54</v>
      </c>
      <c r="O5" s="8" t="s">
        <v>55</v>
      </c>
    </row>
    <row r="6" customFormat="false" ht="35.05" hidden="false" customHeight="false" outlineLevel="0" collapsed="false">
      <c r="A6" s="7" t="s">
        <v>41</v>
      </c>
      <c r="B6" s="7" t="s">
        <v>81</v>
      </c>
      <c r="C6" s="7" t="s">
        <v>82</v>
      </c>
      <c r="D6" s="7" t="s">
        <v>83</v>
      </c>
      <c r="E6" s="7" t="s">
        <v>84</v>
      </c>
      <c r="F6" s="7" t="s">
        <v>60</v>
      </c>
      <c r="G6" s="7" t="s">
        <v>60</v>
      </c>
      <c r="H6" s="7" t="s">
        <v>85</v>
      </c>
      <c r="I6" s="7" t="s">
        <v>49</v>
      </c>
      <c r="J6" s="7" t="s">
        <v>86</v>
      </c>
      <c r="K6" s="7" t="s">
        <v>87</v>
      </c>
      <c r="L6" s="7" t="s">
        <v>88</v>
      </c>
      <c r="M6" s="7" t="s">
        <v>53</v>
      </c>
      <c r="N6" s="7" t="s">
        <v>54</v>
      </c>
      <c r="O6" s="8" t="s">
        <v>55</v>
      </c>
    </row>
    <row r="7" customFormat="false" ht="23.85" hidden="false" customHeight="false" outlineLevel="0" collapsed="false">
      <c r="A7" s="7" t="s">
        <v>41</v>
      </c>
      <c r="B7" s="7" t="s">
        <v>89</v>
      </c>
      <c r="C7" s="7" t="s">
        <v>90</v>
      </c>
      <c r="D7" s="7" t="s">
        <v>91</v>
      </c>
      <c r="E7" s="7" t="s">
        <v>92</v>
      </c>
      <c r="F7" s="7" t="s">
        <v>93</v>
      </c>
      <c r="G7" s="7" t="s">
        <v>60</v>
      </c>
      <c r="H7" s="7" t="s">
        <v>94</v>
      </c>
      <c r="I7" s="7" t="s">
        <v>49</v>
      </c>
      <c r="J7" s="7" t="s">
        <v>95</v>
      </c>
      <c r="K7" s="7" t="s">
        <v>96</v>
      </c>
      <c r="L7" s="7" t="s">
        <v>97</v>
      </c>
      <c r="M7" s="7" t="s">
        <v>53</v>
      </c>
      <c r="N7" s="7" t="s">
        <v>54</v>
      </c>
      <c r="O7" s="8" t="s">
        <v>55</v>
      </c>
    </row>
    <row r="8" customFormat="false" ht="35.05" hidden="false" customHeight="false" outlineLevel="0" collapsed="false">
      <c r="A8" s="7" t="s">
        <v>41</v>
      </c>
      <c r="B8" s="7" t="s">
        <v>98</v>
      </c>
      <c r="C8" s="7" t="s">
        <v>99</v>
      </c>
      <c r="D8" s="7" t="s">
        <v>100</v>
      </c>
      <c r="E8" s="7" t="s">
        <v>101</v>
      </c>
      <c r="F8" s="7" t="s">
        <v>60</v>
      </c>
      <c r="G8" s="7" t="s">
        <v>60</v>
      </c>
      <c r="H8" s="7" t="s">
        <v>102</v>
      </c>
      <c r="I8" s="7" t="s">
        <v>49</v>
      </c>
      <c r="J8" s="7" t="s">
        <v>103</v>
      </c>
      <c r="K8" s="7" t="s">
        <v>104</v>
      </c>
      <c r="L8" s="7" t="s">
        <v>105</v>
      </c>
      <c r="M8" s="7" t="s">
        <v>53</v>
      </c>
      <c r="N8" s="7" t="s">
        <v>54</v>
      </c>
      <c r="O8" s="8" t="s">
        <v>55</v>
      </c>
    </row>
    <row r="9" customFormat="false" ht="23.85" hidden="false" customHeight="false" outlineLevel="0" collapsed="false">
      <c r="A9" s="7" t="s">
        <v>41</v>
      </c>
      <c r="B9" s="7" t="s">
        <v>106</v>
      </c>
      <c r="C9" s="7"/>
      <c r="D9" s="7"/>
      <c r="E9" s="7"/>
      <c r="F9" s="7"/>
      <c r="G9" s="7"/>
      <c r="H9" s="7"/>
      <c r="I9" s="7"/>
      <c r="J9" s="7"/>
      <c r="K9" s="7" t="s">
        <v>107</v>
      </c>
      <c r="L9" s="7"/>
      <c r="M9" s="7"/>
      <c r="N9" s="7"/>
      <c r="O9" s="9" t="s">
        <v>108</v>
      </c>
    </row>
    <row r="10" customFormat="false" ht="23.85" hidden="false" customHeight="false" outlineLevel="0" collapsed="false">
      <c r="A10" s="7" t="s">
        <v>41</v>
      </c>
      <c r="B10" s="7" t="s">
        <v>106</v>
      </c>
      <c r="C10" s="7"/>
      <c r="D10" s="7"/>
      <c r="E10" s="7"/>
      <c r="F10" s="7"/>
      <c r="G10" s="7"/>
      <c r="H10" s="7"/>
      <c r="I10" s="7"/>
      <c r="J10" s="7"/>
      <c r="K10" s="7" t="s">
        <v>109</v>
      </c>
      <c r="L10" s="7"/>
      <c r="M10" s="7"/>
      <c r="N10" s="7"/>
      <c r="O10" s="9" t="s">
        <v>108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70"/>
    <col collapsed="false" customWidth="true" hidden="false" outlineLevel="0" max="3" min="3" style="0" width="44"/>
    <col collapsed="false" customWidth="true" hidden="false" outlineLevel="0" max="4" min="4" style="0" width="48"/>
  </cols>
  <sheetData>
    <row r="1" customFormat="false" ht="15" hidden="false" customHeight="false" outlineLevel="0" collapsed="false">
      <c r="A1" s="6" t="s">
        <v>110</v>
      </c>
      <c r="B1" s="6" t="s">
        <v>111</v>
      </c>
      <c r="C1" s="6" t="s">
        <v>112</v>
      </c>
      <c r="D1" s="6" t="s">
        <v>113</v>
      </c>
    </row>
    <row r="2" customFormat="false" ht="15" hidden="false" customHeight="false" outlineLevel="0" collapsed="false">
      <c r="A2" s="7" t="s">
        <v>114</v>
      </c>
      <c r="B2" s="7" t="s">
        <v>115</v>
      </c>
      <c r="C2" s="7" t="s">
        <v>116</v>
      </c>
      <c r="D2" s="7" t="s">
        <v>117</v>
      </c>
    </row>
    <row r="3" customFormat="false" ht="23.85" hidden="false" customHeight="false" outlineLevel="0" collapsed="false">
      <c r="A3" s="7" t="s">
        <v>118</v>
      </c>
      <c r="B3" s="7" t="s">
        <v>119</v>
      </c>
      <c r="C3" s="7" t="s">
        <v>49</v>
      </c>
      <c r="D3" s="7" t="s">
        <v>120</v>
      </c>
    </row>
    <row r="4" customFormat="false" ht="15" hidden="false" customHeight="false" outlineLevel="0" collapsed="false">
      <c r="A4" s="7" t="s">
        <v>121</v>
      </c>
      <c r="B4" s="7" t="s">
        <v>122</v>
      </c>
      <c r="C4" s="7" t="s">
        <v>49</v>
      </c>
      <c r="D4" s="7" t="s">
        <v>123</v>
      </c>
    </row>
    <row r="5" customFormat="false" ht="23.85" hidden="false" customHeight="false" outlineLevel="0" collapsed="false">
      <c r="A5" s="7" t="s">
        <v>124</v>
      </c>
      <c r="B5" s="7" t="s">
        <v>125</v>
      </c>
      <c r="C5" s="7" t="s">
        <v>126</v>
      </c>
      <c r="D5" s="7" t="s">
        <v>127</v>
      </c>
    </row>
    <row r="6" customFormat="false" ht="23.85" hidden="false" customHeight="false" outlineLevel="0" collapsed="false">
      <c r="A6" s="7" t="s">
        <v>128</v>
      </c>
      <c r="B6" s="7" t="s">
        <v>129</v>
      </c>
      <c r="C6" s="7" t="s">
        <v>130</v>
      </c>
      <c r="D6" s="7" t="s">
        <v>131</v>
      </c>
    </row>
    <row r="7" customFormat="false" ht="15" hidden="false" customHeight="false" outlineLevel="0" collapsed="false">
      <c r="A7" s="7" t="s">
        <v>132</v>
      </c>
      <c r="B7" s="7" t="s">
        <v>133</v>
      </c>
      <c r="C7" s="7" t="s">
        <v>134</v>
      </c>
      <c r="D7" s="7" t="s">
        <v>135</v>
      </c>
    </row>
    <row r="8" customFormat="false" ht="15" hidden="false" customHeight="false" outlineLevel="0" collapsed="false">
      <c r="A8" s="7" t="s">
        <v>136</v>
      </c>
      <c r="B8" s="7" t="s">
        <v>137</v>
      </c>
      <c r="C8" s="7" t="s">
        <v>49</v>
      </c>
      <c r="D8" s="7" t="s">
        <v>138</v>
      </c>
    </row>
    <row r="9" customFormat="false" ht="15" hidden="false" customHeight="false" outlineLevel="0" collapsed="false">
      <c r="A9" s="7" t="s">
        <v>139</v>
      </c>
      <c r="B9" s="7" t="s">
        <v>140</v>
      </c>
      <c r="C9" s="7" t="s">
        <v>49</v>
      </c>
      <c r="D9" s="7" t="s">
        <v>141</v>
      </c>
    </row>
    <row r="10" customFormat="false" ht="15" hidden="false" customHeight="false" outlineLevel="0" collapsed="false">
      <c r="A10" s="7" t="s">
        <v>142</v>
      </c>
      <c r="B10" s="7" t="s">
        <v>143</v>
      </c>
      <c r="C10" s="7" t="s">
        <v>49</v>
      </c>
      <c r="D10" s="7" t="s">
        <v>144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4"/>
    <col collapsed="false" customWidth="true" hidden="false" outlineLevel="0" max="4" min="3" style="0" width="70"/>
    <col collapsed="false" customWidth="true" hidden="false" outlineLevel="0" max="5" min="5" style="0" width="18"/>
  </cols>
  <sheetData>
    <row r="1" customFormat="false" ht="15" hidden="false" customHeight="false" outlineLevel="0" collapsed="false">
      <c r="A1" s="6" t="s">
        <v>38</v>
      </c>
      <c r="B1" s="6" t="s">
        <v>145</v>
      </c>
      <c r="C1" s="6" t="s">
        <v>146</v>
      </c>
      <c r="D1" s="6" t="s">
        <v>147</v>
      </c>
      <c r="E1" s="6" t="s">
        <v>148</v>
      </c>
    </row>
    <row r="2" customFormat="false" ht="23.85" hidden="false" customHeight="false" outlineLevel="0" collapsed="false">
      <c r="A2" s="7" t="s">
        <v>149</v>
      </c>
      <c r="B2" s="7" t="s">
        <v>150</v>
      </c>
      <c r="C2" s="7" t="s">
        <v>151</v>
      </c>
      <c r="D2" s="7" t="s">
        <v>152</v>
      </c>
      <c r="E2" s="7" t="s">
        <v>153</v>
      </c>
    </row>
    <row r="3" customFormat="false" ht="23.85" hidden="false" customHeight="false" outlineLevel="0" collapsed="false">
      <c r="A3" s="7" t="s">
        <v>53</v>
      </c>
      <c r="B3" s="7" t="s">
        <v>154</v>
      </c>
      <c r="C3" s="7" t="s">
        <v>155</v>
      </c>
      <c r="D3" s="7" t="s">
        <v>156</v>
      </c>
      <c r="E3" s="7" t="s">
        <v>157</v>
      </c>
    </row>
    <row r="4" customFormat="false" ht="15" hidden="false" customHeight="false" outlineLevel="0" collapsed="false">
      <c r="A4" s="7" t="s">
        <v>158</v>
      </c>
      <c r="B4" s="7" t="s">
        <v>159</v>
      </c>
      <c r="C4" s="7" t="s">
        <v>160</v>
      </c>
      <c r="D4" s="7" t="s">
        <v>161</v>
      </c>
      <c r="E4" s="7" t="s">
        <v>162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36"/>
    <col collapsed="false" customWidth="true" hidden="false" outlineLevel="0" max="3" min="3" style="0" width="60"/>
    <col collapsed="false" customWidth="true" hidden="false" outlineLevel="0" max="4" min="4" style="0" width="30"/>
    <col collapsed="false" customWidth="true" hidden="false" outlineLevel="0" max="5" min="5" style="0" width="64"/>
    <col collapsed="false" customWidth="true" hidden="false" outlineLevel="0" max="6" min="6" style="0" width="26"/>
  </cols>
  <sheetData>
    <row r="1" customFormat="false" ht="15" hidden="false" customHeight="false" outlineLevel="0" collapsed="false">
      <c r="A1" s="6" t="s">
        <v>163</v>
      </c>
      <c r="B1" s="6" t="s">
        <v>164</v>
      </c>
      <c r="C1" s="6" t="s">
        <v>165</v>
      </c>
      <c r="D1" s="6" t="s">
        <v>166</v>
      </c>
      <c r="E1" s="6" t="s">
        <v>167</v>
      </c>
      <c r="F1" s="6" t="s">
        <v>168</v>
      </c>
    </row>
    <row r="2" customFormat="false" ht="23.85" hidden="false" customHeight="false" outlineLevel="0" collapsed="false">
      <c r="A2" s="7" t="s">
        <v>169</v>
      </c>
      <c r="B2" s="7" t="s">
        <v>170</v>
      </c>
      <c r="C2" s="7" t="s">
        <v>171</v>
      </c>
      <c r="D2" s="7" t="s">
        <v>172</v>
      </c>
      <c r="E2" s="7" t="s">
        <v>173</v>
      </c>
      <c r="F2" s="7" t="s">
        <v>174</v>
      </c>
    </row>
    <row r="3" customFormat="false" ht="23.85" hidden="false" customHeight="false" outlineLevel="0" collapsed="false">
      <c r="A3" s="7" t="s">
        <v>175</v>
      </c>
      <c r="B3" s="7" t="s">
        <v>176</v>
      </c>
      <c r="C3" s="7" t="s">
        <v>177</v>
      </c>
      <c r="D3" s="7" t="s">
        <v>178</v>
      </c>
      <c r="E3" s="7" t="s">
        <v>179</v>
      </c>
      <c r="F3" s="7" t="s">
        <v>180</v>
      </c>
    </row>
    <row r="4" customFormat="false" ht="23.85" hidden="false" customHeight="false" outlineLevel="0" collapsed="false">
      <c r="A4" s="7" t="s">
        <v>181</v>
      </c>
      <c r="B4" s="7" t="s">
        <v>182</v>
      </c>
      <c r="C4" s="7" t="s">
        <v>183</v>
      </c>
      <c r="D4" s="7" t="s">
        <v>184</v>
      </c>
      <c r="E4" s="7" t="s">
        <v>185</v>
      </c>
      <c r="F4" s="7" t="s">
        <v>186</v>
      </c>
    </row>
    <row r="5" customFormat="false" ht="35.05" hidden="false" customHeight="false" outlineLevel="0" collapsed="false">
      <c r="A5" s="7" t="s">
        <v>187</v>
      </c>
      <c r="B5" s="7" t="s">
        <v>188</v>
      </c>
      <c r="C5" s="7" t="s">
        <v>189</v>
      </c>
      <c r="D5" s="7" t="s">
        <v>190</v>
      </c>
      <c r="E5" s="7" t="s">
        <v>191</v>
      </c>
      <c r="F5" s="7" t="s">
        <v>192</v>
      </c>
    </row>
    <row r="6" customFormat="false" ht="23.85" hidden="false" customHeight="false" outlineLevel="0" collapsed="false">
      <c r="A6" s="7" t="s">
        <v>193</v>
      </c>
      <c r="B6" s="7" t="s">
        <v>194</v>
      </c>
      <c r="C6" s="7" t="s">
        <v>195</v>
      </c>
      <c r="D6" s="7" t="s">
        <v>149</v>
      </c>
      <c r="E6" s="7" t="s">
        <v>196</v>
      </c>
      <c r="F6" s="7" t="s">
        <v>197</v>
      </c>
    </row>
    <row r="7" customFormat="false" ht="23.85" hidden="false" customHeight="false" outlineLevel="0" collapsed="false">
      <c r="A7" s="7" t="s">
        <v>198</v>
      </c>
      <c r="B7" s="7" t="s">
        <v>199</v>
      </c>
      <c r="C7" s="7" t="s">
        <v>200</v>
      </c>
      <c r="D7" s="7" t="s">
        <v>149</v>
      </c>
      <c r="E7" s="7" t="s">
        <v>201</v>
      </c>
      <c r="F7" s="7" t="s">
        <v>202</v>
      </c>
    </row>
    <row r="8" customFormat="false" ht="23.85" hidden="false" customHeight="false" outlineLevel="0" collapsed="false">
      <c r="A8" s="7" t="s">
        <v>203</v>
      </c>
      <c r="B8" s="7" t="s">
        <v>204</v>
      </c>
      <c r="C8" s="7" t="s">
        <v>205</v>
      </c>
      <c r="D8" s="7" t="s">
        <v>206</v>
      </c>
      <c r="E8" s="7" t="s">
        <v>207</v>
      </c>
      <c r="F8" s="7" t="s">
        <v>174</v>
      </c>
    </row>
    <row r="9" customFormat="false" ht="23.85" hidden="false" customHeight="false" outlineLevel="0" collapsed="false">
      <c r="A9" s="7" t="s">
        <v>208</v>
      </c>
      <c r="B9" s="7" t="s">
        <v>209</v>
      </c>
      <c r="C9" s="7" t="s">
        <v>210</v>
      </c>
      <c r="D9" s="7" t="s">
        <v>53</v>
      </c>
      <c r="E9" s="7" t="s">
        <v>211</v>
      </c>
      <c r="F9" s="7" t="s">
        <v>174</v>
      </c>
    </row>
    <row r="10" customFormat="false" ht="23.85" hidden="false" customHeight="false" outlineLevel="0" collapsed="false">
      <c r="A10" s="7" t="s">
        <v>212</v>
      </c>
      <c r="B10" s="7" t="s">
        <v>213</v>
      </c>
      <c r="C10" s="7" t="s">
        <v>214</v>
      </c>
      <c r="D10" s="7" t="s">
        <v>172</v>
      </c>
      <c r="E10" s="7" t="s">
        <v>215</v>
      </c>
      <c r="F10" s="7" t="s">
        <v>216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11" min="2" style="0" width="13"/>
  </cols>
  <sheetData>
    <row r="1" customFormat="false" ht="35.05" hidden="false" customHeight="false" outlineLevel="0" collapsed="false">
      <c r="A1" s="6" t="s">
        <v>163</v>
      </c>
      <c r="B1" s="6" t="s">
        <v>217</v>
      </c>
      <c r="C1" s="6" t="s">
        <v>218</v>
      </c>
      <c r="D1" s="6" t="s">
        <v>219</v>
      </c>
      <c r="E1" s="6" t="s">
        <v>220</v>
      </c>
      <c r="F1" s="6" t="s">
        <v>221</v>
      </c>
      <c r="G1" s="6" t="s">
        <v>222</v>
      </c>
      <c r="H1" s="6" t="s">
        <v>223</v>
      </c>
      <c r="I1" s="6" t="s">
        <v>224</v>
      </c>
      <c r="J1" s="6" t="s">
        <v>225</v>
      </c>
      <c r="K1" s="6" t="s">
        <v>226</v>
      </c>
    </row>
    <row r="2" customFormat="false" ht="15" hidden="false" customHeight="false" outlineLevel="0" collapsed="false">
      <c r="A2" s="7" t="s">
        <v>169</v>
      </c>
      <c r="B2" s="10" t="s">
        <v>227</v>
      </c>
      <c r="C2" s="10" t="s">
        <v>227</v>
      </c>
      <c r="D2" s="11" t="s">
        <v>228</v>
      </c>
      <c r="E2" s="11" t="s">
        <v>228</v>
      </c>
      <c r="F2" s="11" t="s">
        <v>228</v>
      </c>
      <c r="G2" s="11" t="s">
        <v>228</v>
      </c>
      <c r="H2" s="11" t="s">
        <v>228</v>
      </c>
      <c r="I2" s="10" t="s">
        <v>227</v>
      </c>
      <c r="J2" s="12" t="s">
        <v>229</v>
      </c>
      <c r="K2" s="12" t="s">
        <v>229</v>
      </c>
    </row>
    <row r="3" customFormat="false" ht="15" hidden="false" customHeight="false" outlineLevel="0" collapsed="false">
      <c r="A3" s="7" t="s">
        <v>230</v>
      </c>
      <c r="B3" s="11" t="s">
        <v>228</v>
      </c>
      <c r="C3" s="10" t="s">
        <v>227</v>
      </c>
      <c r="D3" s="10" t="s">
        <v>227</v>
      </c>
      <c r="E3" s="11" t="s">
        <v>228</v>
      </c>
      <c r="F3" s="11" t="s">
        <v>228</v>
      </c>
      <c r="G3" s="10" t="s">
        <v>227</v>
      </c>
      <c r="H3" s="11" t="s">
        <v>228</v>
      </c>
      <c r="I3" s="10" t="s">
        <v>227</v>
      </c>
      <c r="J3" s="11" t="s">
        <v>228</v>
      </c>
      <c r="K3" s="10" t="s">
        <v>227</v>
      </c>
    </row>
    <row r="4" customFormat="false" ht="15" hidden="false" customHeight="false" outlineLevel="0" collapsed="false">
      <c r="A4" s="7" t="s">
        <v>181</v>
      </c>
      <c r="B4" s="10" t="s">
        <v>227</v>
      </c>
      <c r="C4" s="11" t="s">
        <v>228</v>
      </c>
      <c r="D4" s="10" t="s">
        <v>227</v>
      </c>
      <c r="E4" s="11" t="s">
        <v>228</v>
      </c>
      <c r="F4" s="10" t="s">
        <v>227</v>
      </c>
      <c r="G4" s="11" t="s">
        <v>228</v>
      </c>
      <c r="H4" s="11" t="s">
        <v>228</v>
      </c>
      <c r="I4" s="11" t="s">
        <v>228</v>
      </c>
      <c r="J4" s="12" t="s">
        <v>229</v>
      </c>
      <c r="K4" s="11" t="s">
        <v>228</v>
      </c>
    </row>
    <row r="5" customFormat="false" ht="15" hidden="false" customHeight="false" outlineLevel="0" collapsed="false">
      <c r="A5" s="7" t="s">
        <v>187</v>
      </c>
      <c r="B5" s="10" t="s">
        <v>227</v>
      </c>
      <c r="C5" s="11" t="s">
        <v>228</v>
      </c>
      <c r="D5" s="10" t="s">
        <v>227</v>
      </c>
      <c r="E5" s="12" t="s">
        <v>229</v>
      </c>
      <c r="F5" s="11" t="s">
        <v>228</v>
      </c>
      <c r="G5" s="10" t="s">
        <v>227</v>
      </c>
      <c r="H5" s="11" t="s">
        <v>228</v>
      </c>
      <c r="I5" s="11" t="s">
        <v>228</v>
      </c>
      <c r="J5" s="12" t="s">
        <v>229</v>
      </c>
      <c r="K5" s="12" t="s">
        <v>229</v>
      </c>
    </row>
    <row r="6" customFormat="false" ht="15" hidden="false" customHeight="false" outlineLevel="0" collapsed="false">
      <c r="A6" s="7" t="s">
        <v>193</v>
      </c>
      <c r="B6" s="12" t="s">
        <v>229</v>
      </c>
      <c r="C6" s="10" t="s">
        <v>227</v>
      </c>
      <c r="D6" s="10" t="s">
        <v>227</v>
      </c>
      <c r="E6" s="10" t="s">
        <v>227</v>
      </c>
      <c r="F6" s="10" t="s">
        <v>227</v>
      </c>
      <c r="G6" s="10" t="s">
        <v>227</v>
      </c>
      <c r="H6" s="11" t="s">
        <v>228</v>
      </c>
      <c r="I6" s="10" t="s">
        <v>227</v>
      </c>
      <c r="J6" s="10" t="s">
        <v>227</v>
      </c>
      <c r="K6" s="10" t="s">
        <v>227</v>
      </c>
    </row>
    <row r="7" customFormat="false" ht="15" hidden="false" customHeight="false" outlineLevel="0" collapsed="false">
      <c r="A7" s="7" t="s">
        <v>198</v>
      </c>
      <c r="B7" s="12" t="s">
        <v>229</v>
      </c>
      <c r="C7" s="11" t="s">
        <v>228</v>
      </c>
      <c r="D7" s="11" t="s">
        <v>228</v>
      </c>
      <c r="E7" s="12" t="s">
        <v>229</v>
      </c>
      <c r="F7" s="10" t="s">
        <v>227</v>
      </c>
      <c r="G7" s="11" t="s">
        <v>228</v>
      </c>
      <c r="H7" s="10" t="s">
        <v>227</v>
      </c>
      <c r="I7" s="11" t="s">
        <v>228</v>
      </c>
      <c r="J7" s="11" t="s">
        <v>228</v>
      </c>
      <c r="K7" s="12" t="s">
        <v>229</v>
      </c>
    </row>
    <row r="8" customFormat="false" ht="15" hidden="false" customHeight="false" outlineLevel="0" collapsed="false">
      <c r="A8" s="7" t="s">
        <v>203</v>
      </c>
      <c r="B8" s="12" t="s">
        <v>229</v>
      </c>
      <c r="C8" s="12" t="s">
        <v>229</v>
      </c>
      <c r="D8" s="12" t="s">
        <v>229</v>
      </c>
      <c r="E8" s="12" t="s">
        <v>229</v>
      </c>
      <c r="F8" s="11" t="s">
        <v>228</v>
      </c>
      <c r="G8" s="12" t="s">
        <v>229</v>
      </c>
      <c r="H8" s="10" t="s">
        <v>227</v>
      </c>
      <c r="I8" s="12" t="s">
        <v>229</v>
      </c>
      <c r="J8" s="11" t="s">
        <v>228</v>
      </c>
      <c r="K8" s="12" t="s">
        <v>229</v>
      </c>
    </row>
    <row r="9" customFormat="false" ht="15" hidden="false" customHeight="false" outlineLevel="0" collapsed="false">
      <c r="A9" s="7" t="s">
        <v>231</v>
      </c>
      <c r="B9" s="10" t="s">
        <v>227</v>
      </c>
      <c r="C9" s="10" t="s">
        <v>227</v>
      </c>
      <c r="D9" s="10" t="s">
        <v>227</v>
      </c>
      <c r="E9" s="10" t="s">
        <v>227</v>
      </c>
      <c r="F9" s="10" t="s">
        <v>227</v>
      </c>
      <c r="G9" s="10" t="s">
        <v>227</v>
      </c>
      <c r="H9" s="10" t="s">
        <v>227</v>
      </c>
      <c r="I9" s="10" t="s">
        <v>227</v>
      </c>
      <c r="J9" s="11" t="s">
        <v>228</v>
      </c>
      <c r="K9" s="12" t="s">
        <v>229</v>
      </c>
    </row>
    <row r="10" customFormat="false" ht="15" hidden="false" customHeight="false" outlineLevel="0" collapsed="false">
      <c r="A10" s="7" t="s">
        <v>232</v>
      </c>
      <c r="B10" s="10" t="s">
        <v>227</v>
      </c>
      <c r="C10" s="11" t="s">
        <v>228</v>
      </c>
      <c r="D10" s="11" t="s">
        <v>228</v>
      </c>
      <c r="E10" s="12" t="s">
        <v>229</v>
      </c>
      <c r="F10" s="11" t="s">
        <v>228</v>
      </c>
      <c r="G10" s="11" t="s">
        <v>228</v>
      </c>
      <c r="H10" s="12" t="s">
        <v>229</v>
      </c>
      <c r="I10" s="11" t="s">
        <v>228</v>
      </c>
      <c r="J10" s="11" t="s">
        <v>228</v>
      </c>
      <c r="K10" s="12" t="s">
        <v>229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60"/>
    <col collapsed="false" customWidth="true" hidden="false" outlineLevel="0" max="3" min="3" style="0" width="36"/>
    <col collapsed="false" customWidth="true" hidden="false" outlineLevel="0" max="4" min="4" style="0" width="42"/>
  </cols>
  <sheetData>
    <row r="1" customFormat="false" ht="15" hidden="false" customHeight="false" outlineLevel="0" collapsed="false">
      <c r="A1" s="6" t="s">
        <v>233</v>
      </c>
      <c r="B1" s="6" t="s">
        <v>234</v>
      </c>
      <c r="C1" s="6" t="s">
        <v>235</v>
      </c>
      <c r="D1" s="6" t="s">
        <v>236</v>
      </c>
    </row>
    <row r="2" customFormat="false" ht="23.85" hidden="false" customHeight="false" outlineLevel="0" collapsed="false">
      <c r="A2" s="7" t="s">
        <v>237</v>
      </c>
      <c r="B2" s="7" t="s">
        <v>238</v>
      </c>
      <c r="C2" s="7" t="s">
        <v>239</v>
      </c>
      <c r="D2" s="7" t="s">
        <v>240</v>
      </c>
    </row>
    <row r="3" customFormat="false" ht="15" hidden="false" customHeight="false" outlineLevel="0" collapsed="false">
      <c r="A3" s="7" t="s">
        <v>241</v>
      </c>
      <c r="B3" s="7" t="s">
        <v>242</v>
      </c>
      <c r="C3" s="7" t="s">
        <v>243</v>
      </c>
      <c r="D3" s="7" t="s">
        <v>244</v>
      </c>
    </row>
    <row r="4" customFormat="false" ht="15" hidden="false" customHeight="false" outlineLevel="0" collapsed="false">
      <c r="A4" s="7" t="s">
        <v>245</v>
      </c>
      <c r="B4" s="7" t="s">
        <v>246</v>
      </c>
      <c r="C4" s="7" t="s">
        <v>247</v>
      </c>
      <c r="D4" s="7" t="s">
        <v>248</v>
      </c>
    </row>
    <row r="5" customFormat="false" ht="15" hidden="false" customHeight="false" outlineLevel="0" collapsed="false">
      <c r="A5" s="7" t="s">
        <v>249</v>
      </c>
      <c r="B5" s="7" t="s">
        <v>250</v>
      </c>
      <c r="C5" s="7" t="s">
        <v>251</v>
      </c>
      <c r="D5" s="7" t="s">
        <v>252</v>
      </c>
    </row>
    <row r="6" customFormat="false" ht="15" hidden="false" customHeight="false" outlineLevel="0" collapsed="false">
      <c r="A6" s="7" t="s">
        <v>253</v>
      </c>
      <c r="B6" s="7" t="s">
        <v>254</v>
      </c>
      <c r="C6" s="7" t="s">
        <v>255</v>
      </c>
      <c r="D6" s="7" t="s">
        <v>256</v>
      </c>
    </row>
    <row r="7" customFormat="false" ht="15" hidden="false" customHeight="false" outlineLevel="0" collapsed="false">
      <c r="A7" s="7" t="s">
        <v>257</v>
      </c>
      <c r="B7" s="7" t="s">
        <v>258</v>
      </c>
      <c r="C7" s="7" t="s">
        <v>259</v>
      </c>
      <c r="D7" s="7" t="s">
        <v>260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0"/>
    <col collapsed="false" customWidth="true" hidden="false" outlineLevel="0" max="4" min="3" style="0" width="14"/>
    <col collapsed="false" customWidth="true" hidden="false" outlineLevel="0" max="5" min="5" style="0" width="20"/>
    <col collapsed="false" customWidth="true" hidden="false" outlineLevel="0" max="6" min="6" style="0" width="22"/>
  </cols>
  <sheetData>
    <row r="1" customFormat="false" ht="15" hidden="false" customHeight="false" outlineLevel="0" collapsed="false">
      <c r="A1" s="6" t="s">
        <v>261</v>
      </c>
      <c r="B1" s="6" t="s">
        <v>116</v>
      </c>
      <c r="C1" s="6" t="s">
        <v>49</v>
      </c>
      <c r="D1" s="6" t="s">
        <v>262</v>
      </c>
      <c r="E1" s="6" t="s">
        <v>263</v>
      </c>
      <c r="F1" s="6" t="s">
        <v>264</v>
      </c>
    </row>
    <row r="2" customFormat="false" ht="15" hidden="false" customHeight="false" outlineLevel="0" collapsed="false">
      <c r="A2" s="7" t="s">
        <v>265</v>
      </c>
      <c r="B2" s="7" t="s">
        <v>228</v>
      </c>
      <c r="C2" s="7" t="s">
        <v>266</v>
      </c>
      <c r="D2" s="7" t="s">
        <v>266</v>
      </c>
      <c r="E2" s="7" t="s">
        <v>266</v>
      </c>
      <c r="F2" s="7" t="s">
        <v>266</v>
      </c>
    </row>
    <row r="3" customFormat="false" ht="15" hidden="false" customHeight="false" outlineLevel="0" collapsed="false">
      <c r="A3" s="7" t="s">
        <v>267</v>
      </c>
      <c r="B3" s="7" t="s">
        <v>268</v>
      </c>
      <c r="C3" s="7" t="s">
        <v>269</v>
      </c>
      <c r="D3" s="7" t="s">
        <v>268</v>
      </c>
      <c r="E3" s="7" t="s">
        <v>268</v>
      </c>
      <c r="F3" s="7" t="s">
        <v>268</v>
      </c>
    </row>
    <row r="4" customFormat="false" ht="15" hidden="false" customHeight="false" outlineLevel="0" collapsed="false">
      <c r="A4" s="7" t="s">
        <v>270</v>
      </c>
      <c r="B4" s="7" t="s">
        <v>266</v>
      </c>
      <c r="C4" s="7" t="s">
        <v>268</v>
      </c>
      <c r="D4" s="7" t="s">
        <v>268</v>
      </c>
      <c r="E4" s="7" t="s">
        <v>269</v>
      </c>
      <c r="F4" s="7" t="s">
        <v>268</v>
      </c>
    </row>
    <row r="5" customFormat="false" ht="15" hidden="false" customHeight="false" outlineLevel="0" collapsed="false">
      <c r="A5" s="7" t="s">
        <v>271</v>
      </c>
      <c r="B5" s="7" t="s">
        <v>229</v>
      </c>
      <c r="C5" s="7" t="s">
        <v>268</v>
      </c>
      <c r="D5" s="7" t="s">
        <v>269</v>
      </c>
      <c r="E5" s="7" t="s">
        <v>266</v>
      </c>
      <c r="F5" s="7" t="s">
        <v>266</v>
      </c>
    </row>
    <row r="6" customFormat="false" ht="15" hidden="false" customHeight="false" outlineLevel="0" collapsed="false">
      <c r="A6" s="7" t="s">
        <v>272</v>
      </c>
      <c r="B6" s="7" t="s">
        <v>229</v>
      </c>
      <c r="C6" s="7" t="s">
        <v>269</v>
      </c>
      <c r="D6" s="7" t="s">
        <v>268</v>
      </c>
      <c r="E6" s="7" t="s">
        <v>266</v>
      </c>
      <c r="F6" s="7" t="s">
        <v>266</v>
      </c>
    </row>
    <row r="7" customFormat="false" ht="15" hidden="false" customHeight="false" outlineLevel="0" collapsed="false">
      <c r="A7" s="7" t="s">
        <v>273</v>
      </c>
      <c r="B7" s="7" t="s">
        <v>229</v>
      </c>
      <c r="C7" s="7" t="s">
        <v>269</v>
      </c>
      <c r="D7" s="7" t="s">
        <v>228</v>
      </c>
      <c r="E7" s="7" t="s">
        <v>266</v>
      </c>
      <c r="F7" s="7" t="s">
        <v>266</v>
      </c>
    </row>
    <row r="8" customFormat="false" ht="15" hidden="false" customHeight="false" outlineLevel="0" collapsed="false">
      <c r="A8" s="7" t="s">
        <v>274</v>
      </c>
      <c r="B8" s="7" t="s">
        <v>229</v>
      </c>
      <c r="C8" s="7" t="s">
        <v>269</v>
      </c>
      <c r="D8" s="7" t="s">
        <v>268</v>
      </c>
      <c r="E8" s="7" t="s">
        <v>268</v>
      </c>
      <c r="F8" s="7" t="s">
        <v>266</v>
      </c>
    </row>
    <row r="9" customFormat="false" ht="15" hidden="false" customHeight="false" outlineLevel="0" collapsed="false">
      <c r="A9" s="7" t="s">
        <v>275</v>
      </c>
      <c r="B9" s="7" t="s">
        <v>229</v>
      </c>
      <c r="C9" s="7" t="s">
        <v>269</v>
      </c>
      <c r="D9" s="7" t="s">
        <v>268</v>
      </c>
      <c r="E9" s="7" t="s">
        <v>266</v>
      </c>
      <c r="F9" s="7" t="s">
        <v>266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90"/>
  </cols>
  <sheetData>
    <row r="1" customFormat="false" ht="15" hidden="false" customHeight="false" outlineLevel="0" collapsed="false">
      <c r="A1" s="6" t="s">
        <v>72</v>
      </c>
      <c r="B1" s="6" t="s">
        <v>276</v>
      </c>
    </row>
    <row r="2" customFormat="false" ht="15" hidden="false" customHeight="false" outlineLevel="0" collapsed="false">
      <c r="A2" s="7" t="s">
        <v>277</v>
      </c>
      <c r="B2" s="7" t="s">
        <v>278</v>
      </c>
    </row>
    <row r="3" customFormat="false" ht="15" hidden="false" customHeight="false" outlineLevel="0" collapsed="false">
      <c r="A3" s="7" t="s">
        <v>279</v>
      </c>
      <c r="B3" s="7" t="s">
        <v>280</v>
      </c>
    </row>
    <row r="4" customFormat="false" ht="15" hidden="false" customHeight="false" outlineLevel="0" collapsed="false">
      <c r="A4" s="7" t="s">
        <v>281</v>
      </c>
      <c r="B4" s="7" t="s">
        <v>282</v>
      </c>
    </row>
    <row r="5" customFormat="false" ht="15" hidden="false" customHeight="false" outlineLevel="0" collapsed="false">
      <c r="A5" s="7" t="s">
        <v>283</v>
      </c>
      <c r="B5" s="7" t="s">
        <v>284</v>
      </c>
    </row>
    <row r="6" customFormat="false" ht="15" hidden="false" customHeight="false" outlineLevel="0" collapsed="false">
      <c r="A6" s="7" t="s">
        <v>285</v>
      </c>
      <c r="B6" s="7" t="s">
        <v>286</v>
      </c>
    </row>
    <row r="7" customFormat="false" ht="15" hidden="false" customHeight="false" outlineLevel="0" collapsed="false">
      <c r="A7" s="7" t="s">
        <v>30</v>
      </c>
      <c r="B7" s="7" t="s">
        <v>287</v>
      </c>
    </row>
    <row r="8" customFormat="false" ht="15" hidden="false" customHeight="false" outlineLevel="0" collapsed="false">
      <c r="A8" s="7" t="s">
        <v>288</v>
      </c>
      <c r="B8" s="7" t="s">
        <v>289</v>
      </c>
    </row>
    <row r="9" customFormat="false" ht="15" hidden="false" customHeight="false" outlineLevel="0" collapsed="false">
      <c r="A9" s="7" t="s">
        <v>290</v>
      </c>
      <c r="B9" s="7" t="s">
        <v>291</v>
      </c>
    </row>
    <row r="10" customFormat="false" ht="15" hidden="false" customHeight="false" outlineLevel="0" collapsed="false">
      <c r="A10" s="7" t="s">
        <v>292</v>
      </c>
      <c r="B10" s="7" t="s">
        <v>293</v>
      </c>
    </row>
    <row r="11" customFormat="false" ht="15" hidden="false" customHeight="false" outlineLevel="0" collapsed="false">
      <c r="A11" s="7" t="s">
        <v>38</v>
      </c>
      <c r="B11" s="7" t="s">
        <v>294</v>
      </c>
    </row>
    <row r="12" customFormat="false" ht="15" hidden="false" customHeight="false" outlineLevel="0" collapsed="false">
      <c r="A12" s="7" t="s">
        <v>295</v>
      </c>
      <c r="B12" s="7" t="s">
        <v>296</v>
      </c>
    </row>
    <row r="13" customFormat="false" ht="15" hidden="false" customHeight="false" outlineLevel="0" collapsed="false">
      <c r="A13" s="7" t="s">
        <v>297</v>
      </c>
      <c r="B13" s="7" t="s">
        <v>298</v>
      </c>
    </row>
    <row r="14" customFormat="false" ht="15" hidden="false" customHeight="false" outlineLevel="0" collapsed="false">
      <c r="A14" s="7" t="s">
        <v>299</v>
      </c>
      <c r="B14" s="7" t="s">
        <v>300</v>
      </c>
    </row>
    <row r="15" customFormat="false" ht="15" hidden="false" customHeight="false" outlineLevel="0" collapsed="false">
      <c r="A15" s="7" t="s">
        <v>301</v>
      </c>
      <c r="B15" s="7" t="s">
        <v>302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0"/>
    <col collapsed="false" customWidth="true" hidden="false" outlineLevel="0" max="3" min="3" style="0" width="12"/>
    <col collapsed="false" customWidth="true" hidden="false" outlineLevel="0" max="4" min="4" style="0" width="70"/>
  </cols>
  <sheetData>
    <row r="1" customFormat="false" ht="15" hidden="false" customHeight="false" outlineLevel="0" collapsed="false">
      <c r="A1" s="6" t="s">
        <v>303</v>
      </c>
      <c r="B1" s="6" t="s">
        <v>35</v>
      </c>
      <c r="C1" s="6" t="s">
        <v>40</v>
      </c>
      <c r="D1" s="6" t="s">
        <v>304</v>
      </c>
    </row>
    <row r="2" customFormat="false" ht="15" hidden="false" customHeight="false" outlineLevel="0" collapsed="false">
      <c r="A2" s="7" t="s">
        <v>305</v>
      </c>
      <c r="B2" s="7" t="s">
        <v>306</v>
      </c>
      <c r="C2" s="8" t="s">
        <v>55</v>
      </c>
      <c r="D2" s="7" t="s">
        <v>307</v>
      </c>
    </row>
    <row r="3" customFormat="false" ht="15" hidden="false" customHeight="false" outlineLevel="0" collapsed="false">
      <c r="A3" s="7" t="s">
        <v>61</v>
      </c>
      <c r="B3" s="7" t="s">
        <v>308</v>
      </c>
      <c r="C3" s="8" t="s">
        <v>55</v>
      </c>
      <c r="D3" s="7" t="s">
        <v>309</v>
      </c>
    </row>
    <row r="4" customFormat="false" ht="15" hidden="false" customHeight="false" outlineLevel="0" collapsed="false">
      <c r="A4" s="7" t="s">
        <v>310</v>
      </c>
      <c r="B4" s="7" t="s">
        <v>308</v>
      </c>
      <c r="C4" s="8" t="s">
        <v>55</v>
      </c>
      <c r="D4" s="7" t="s">
        <v>311</v>
      </c>
    </row>
    <row r="5" customFormat="false" ht="15" hidden="false" customHeight="false" outlineLevel="0" collapsed="false">
      <c r="A5" s="7" t="s">
        <v>312</v>
      </c>
      <c r="B5" s="7" t="s">
        <v>306</v>
      </c>
      <c r="C5" s="8" t="s">
        <v>55</v>
      </c>
      <c r="D5" s="7" t="s">
        <v>313</v>
      </c>
    </row>
    <row r="6" customFormat="false" ht="15" hidden="false" customHeight="false" outlineLevel="0" collapsed="false">
      <c r="A6" s="7" t="s">
        <v>314</v>
      </c>
      <c r="B6" s="7" t="s">
        <v>306</v>
      </c>
      <c r="C6" s="8" t="s">
        <v>55</v>
      </c>
      <c r="D6" s="7" t="s">
        <v>313</v>
      </c>
    </row>
    <row r="7" customFormat="false" ht="15" hidden="false" customHeight="false" outlineLevel="0" collapsed="false">
      <c r="A7" s="7" t="s">
        <v>315</v>
      </c>
      <c r="B7" s="7" t="s">
        <v>306</v>
      </c>
      <c r="C7" s="8" t="s">
        <v>55</v>
      </c>
      <c r="D7" s="7" t="s">
        <v>313</v>
      </c>
    </row>
    <row r="8" customFormat="false" ht="15" hidden="false" customHeight="false" outlineLevel="0" collapsed="false">
      <c r="A8" s="7" t="s">
        <v>316</v>
      </c>
      <c r="B8" s="7" t="s">
        <v>306</v>
      </c>
      <c r="C8" s="8" t="s">
        <v>55</v>
      </c>
      <c r="D8" s="7" t="s">
        <v>313</v>
      </c>
    </row>
    <row r="9" customFormat="false" ht="15" hidden="false" customHeight="false" outlineLevel="0" collapsed="false">
      <c r="A9" s="7" t="s">
        <v>317</v>
      </c>
      <c r="B9" s="7" t="s">
        <v>308</v>
      </c>
      <c r="C9" s="8" t="s">
        <v>55</v>
      </c>
      <c r="D9" s="7" t="s">
        <v>318</v>
      </c>
    </row>
    <row r="10" customFormat="false" ht="15" hidden="false" customHeight="false" outlineLevel="0" collapsed="false">
      <c r="A10" s="7" t="s">
        <v>319</v>
      </c>
      <c r="B10" s="7" t="s">
        <v>306</v>
      </c>
      <c r="C10" s="8" t="s">
        <v>55</v>
      </c>
      <c r="D10" s="7" t="s">
        <v>313</v>
      </c>
    </row>
    <row r="11" customFormat="false" ht="15" hidden="false" customHeight="false" outlineLevel="0" collapsed="false">
      <c r="A11" s="7" t="s">
        <v>320</v>
      </c>
      <c r="B11" s="7" t="s">
        <v>306</v>
      </c>
      <c r="C11" s="8" t="s">
        <v>55</v>
      </c>
      <c r="D11" s="7" t="s">
        <v>321</v>
      </c>
    </row>
    <row r="12" customFormat="false" ht="15" hidden="false" customHeight="false" outlineLevel="0" collapsed="false">
      <c r="A12" s="7" t="s">
        <v>322</v>
      </c>
      <c r="B12" s="7" t="s">
        <v>306</v>
      </c>
      <c r="C12" s="8" t="s">
        <v>55</v>
      </c>
      <c r="D12" s="7" t="s">
        <v>313</v>
      </c>
    </row>
    <row r="13" customFormat="false" ht="15" hidden="false" customHeight="false" outlineLevel="0" collapsed="false">
      <c r="A13" s="7" t="s">
        <v>323</v>
      </c>
      <c r="B13" s="7" t="s">
        <v>306</v>
      </c>
      <c r="C13" s="8" t="s">
        <v>55</v>
      </c>
      <c r="D13" s="7" t="s">
        <v>324</v>
      </c>
    </row>
    <row r="14" customFormat="false" ht="15" hidden="false" customHeight="false" outlineLevel="0" collapsed="false">
      <c r="A14" s="7" t="s">
        <v>325</v>
      </c>
      <c r="B14" s="7" t="s">
        <v>306</v>
      </c>
      <c r="C14" s="8" t="s">
        <v>55</v>
      </c>
      <c r="D14" s="7" t="s">
        <v>313</v>
      </c>
    </row>
    <row r="15" customFormat="false" ht="15" hidden="false" customHeight="false" outlineLevel="0" collapsed="false">
      <c r="A15" s="7" t="s">
        <v>326</v>
      </c>
      <c r="B15" s="7" t="s">
        <v>306</v>
      </c>
      <c r="C15" s="8" t="s">
        <v>55</v>
      </c>
      <c r="D15" s="7" t="s">
        <v>313</v>
      </c>
    </row>
    <row r="16" customFormat="false" ht="15" hidden="false" customHeight="false" outlineLevel="0" collapsed="false">
      <c r="A16" s="7" t="s">
        <v>327</v>
      </c>
      <c r="B16" s="7" t="s">
        <v>306</v>
      </c>
      <c r="C16" s="8" t="s">
        <v>55</v>
      </c>
      <c r="D16" s="7" t="s">
        <v>313</v>
      </c>
    </row>
    <row r="17" customFormat="false" ht="15" hidden="false" customHeight="false" outlineLevel="0" collapsed="false">
      <c r="A17" s="7" t="s">
        <v>328</v>
      </c>
      <c r="B17" s="7" t="s">
        <v>306</v>
      </c>
      <c r="C17" s="8" t="s">
        <v>55</v>
      </c>
      <c r="D17" s="7" t="s">
        <v>313</v>
      </c>
    </row>
    <row r="18" customFormat="false" ht="15" hidden="false" customHeight="false" outlineLevel="0" collapsed="false">
      <c r="A18" s="7" t="s">
        <v>329</v>
      </c>
      <c r="B18" s="7" t="s">
        <v>306</v>
      </c>
      <c r="C18" s="8" t="s">
        <v>55</v>
      </c>
      <c r="D18" s="7" t="s">
        <v>330</v>
      </c>
    </row>
    <row r="19" customFormat="false" ht="15" hidden="false" customHeight="false" outlineLevel="0" collapsed="false">
      <c r="A19" s="7" t="s">
        <v>331</v>
      </c>
      <c r="B19" s="7" t="s">
        <v>306</v>
      </c>
      <c r="C19" s="8" t="s">
        <v>55</v>
      </c>
      <c r="D19" s="7" t="s">
        <v>330</v>
      </c>
    </row>
    <row r="20" customFormat="false" ht="15" hidden="false" customHeight="false" outlineLevel="0" collapsed="false">
      <c r="A20" s="7" t="s">
        <v>332</v>
      </c>
      <c r="B20" s="7" t="s">
        <v>308</v>
      </c>
      <c r="C20" s="8" t="s">
        <v>55</v>
      </c>
      <c r="D20" s="7" t="s">
        <v>333</v>
      </c>
    </row>
    <row r="21" customFormat="false" ht="15" hidden="false" customHeight="false" outlineLevel="0" collapsed="false">
      <c r="A21" s="7" t="s">
        <v>94</v>
      </c>
      <c r="B21" s="7" t="s">
        <v>308</v>
      </c>
      <c r="C21" s="8" t="s">
        <v>55</v>
      </c>
      <c r="D21" s="7" t="s">
        <v>334</v>
      </c>
    </row>
    <row r="22" customFormat="false" ht="15" hidden="false" customHeight="false" outlineLevel="0" collapsed="false">
      <c r="A22" s="7" t="s">
        <v>335</v>
      </c>
      <c r="B22" s="7" t="s">
        <v>308</v>
      </c>
      <c r="C22" s="8" t="s">
        <v>55</v>
      </c>
      <c r="D22" s="7" t="s">
        <v>336</v>
      </c>
    </row>
    <row r="23" customFormat="false" ht="15" hidden="false" customHeight="false" outlineLevel="0" collapsed="false">
      <c r="A23" s="7" t="s">
        <v>337</v>
      </c>
      <c r="B23" s="7" t="s">
        <v>308</v>
      </c>
      <c r="C23" s="8" t="s">
        <v>55</v>
      </c>
      <c r="D23" s="7" t="s">
        <v>338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2026-10-14T00:40:05Z</dcterms:created>
  <dc:creator>openpyxl</dc:creator>
  <dc:description/>
  <dc:language>en-US</dc:language>
  <cp:lastModifiedBy/>
  <dcterms:modified xsi:type="dcterms:W3CDTF">2026-10-14T00:40:05Z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