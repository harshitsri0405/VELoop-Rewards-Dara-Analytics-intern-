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Quality_Rules" sheetId="2" state="visible" r:id="rId4"/>
    <sheet name="Layers" sheetId="3" state="visible" r:id="rId5"/>
    <sheet name="Failure_Actions" sheetId="4" state="visible" r:id="rId6"/>
    <sheet name="Quality_Metrics" sheetId="5" state="visible" r:id="rId7"/>
    <sheet name="Quarantine_Table" sheetId="6" state="visible" r:id="rId8"/>
    <sheet name="Severity_Scale" sheetId="7" state="visible" r:id="rId9"/>
    <sheet name="Brief_Check_Coverage" sheetId="8" state="visible" r:id="rId10"/>
  </sheets>
  <definedNames>
    <definedName function="false" hidden="true" localSheetId="1" name="_xlnm._FilterDatabase" vbProcedure="false">Quality_Rules!$A$1:$K$40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<sst xmlns="http://schemas.openxmlformats.org/spreadsheetml/2006/main" count="640" uniqueCount="353">
  <si>
    <t xml:space="preserve">VELOOP REWARDS - Task 01 | Work Package L: Data Quality Control Framework</t>
  </si>
  <si>
    <t xml:space="preserve">Every rule is Proposed. No simulated or real VELOOP statistics are included, and no thresholds are invented: tolerances and limits are marked 'to be agreed'.</t>
  </si>
  <si>
    <t xml:space="preserve">Rule IDs (DQ###) are what the Data Quality Audit (Work Package K) will reference when it reports issues found in the Messy_Data sheet.</t>
  </si>
  <si>
    <t xml:space="preserve">Design principles:</t>
  </si>
  <si>
    <t xml:space="preserve">- Prevent first: the earliest sensible layer should stop a problem, because fixing at the dashboard is the most expensive place.</t>
  </si>
  <si>
    <t xml:space="preserve">- Never silently change meaning: only formatting is auto-corrected; IDs, amounts, units, statuses and timestamps are never guessed.</t>
  </si>
  <si>
    <t xml:space="preserve">- Keep raw data untouched, so every correction can be traced and reversed.</t>
  </si>
  <si>
    <t xml:space="preserve">- Quarantine, do not delete: every held record keeps its rule ID and reason.</t>
  </si>
  <si>
    <t xml:space="preserve">- Measure quality as numbers, not feelings: the metrics in Section 5 are shown beside the KPIs.</t>
  </si>
  <si>
    <t xml:space="preserve">- Start small: scheduled SQL checks and a quarantine table are enough at first; add tooling only when volume justifies it.</t>
  </si>
  <si>
    <t xml:space="preserve">Open questions:</t>
  </si>
  <si>
    <t xml:space="preserve">- What clock tolerance and freshness limits apply? (A012; no value is set here)</t>
  </si>
  <si>
    <t xml:space="preserve">- Where do the approved-value reference tables live, and who maintains them?</t>
  </si>
  <si>
    <t xml:space="preserve">- Who triages the quarantine table and how often?</t>
  </si>
  <si>
    <t xml:space="preserve">- What volume band should trigger a volume alert?</t>
  </si>
  <si>
    <t xml:space="preserve">- Which dashboard tool will show data-as-of and quality status (kept simple at first)?</t>
  </si>
  <si>
    <t xml:space="preserve">Live counts</t>
  </si>
  <si>
    <t xml:space="preserve">Quality rules</t>
  </si>
  <si>
    <t xml:space="preserve">Critical rules</t>
  </si>
  <si>
    <t xml:space="preserve">Brief issue types with no rule</t>
  </si>
  <si>
    <t xml:space="preserve">Layers</t>
  </si>
  <si>
    <t xml:space="preserve">Rule ID</t>
  </si>
  <si>
    <t xml:space="preserve">Rule</t>
  </si>
  <si>
    <t xml:space="preserve">Issue Type</t>
  </si>
  <si>
    <t xml:space="preserve">Applies To</t>
  </si>
  <si>
    <t xml:space="preserve">Rule Logic</t>
  </si>
  <si>
    <t xml:space="preserve">Primary Layer</t>
  </si>
  <si>
    <t xml:space="preserve">Backstop Layer</t>
  </si>
  <si>
    <t xml:space="preserve">Action on Failure</t>
  </si>
  <si>
    <t xml:space="preserve">Severity</t>
  </si>
  <si>
    <t xml:space="preserve">Owner</t>
  </si>
  <si>
    <t xml:space="preserve">Status</t>
  </si>
  <si>
    <t xml:space="preserve">DQ001</t>
  </si>
  <si>
    <t xml:space="preserve">Identifier present</t>
  </si>
  <si>
    <t xml:space="preserve">missing IDs</t>
  </si>
  <si>
    <t xml:space="preserve">All primary keys; user_id and other foreign keys</t>
  </si>
  <si>
    <t xml:space="preserve">Not null, not empty, not a placeholder such as 'null' or 'N/A'</t>
  </si>
  <si>
    <t xml:space="preserve">Application</t>
  </si>
  <si>
    <t xml:space="preserve">Data Collection; Raw Data</t>
  </si>
  <si>
    <t xml:space="preserve">Reject at source (app); Quarantine (collection)</t>
  </si>
  <si>
    <t xml:space="preserve">Critical</t>
  </si>
  <si>
    <t xml:space="preserve">Engineering</t>
  </si>
  <si>
    <t xml:space="preserve">Proposed</t>
  </si>
  <si>
    <t xml:space="preserve">DQ002</t>
  </si>
  <si>
    <t xml:space="preserve">Primary key unique</t>
  </si>
  <si>
    <t xml:space="preserve">duplicate IDs</t>
  </si>
  <si>
    <t xml:space="preserve">Every entity's primary key</t>
  </si>
  <si>
    <t xml:space="preserve">Exactly one row per primary key (user_id, transaction_id, withdrawal_id, reward_id...)</t>
  </si>
  <si>
    <t xml:space="preserve">Transformation</t>
  </si>
  <si>
    <t xml:space="preserve">Reject at source (database constraint); Quarantine later duplicates</t>
  </si>
  <si>
    <t xml:space="preserve">DQ003</t>
  </si>
  <si>
    <t xml:space="preserve">Identifier format</t>
  </si>
  <si>
    <t xml:space="preserve">All ID fields</t>
  </si>
  <si>
    <t xml:space="preserve">Matches the agreed pattern; no spaces; no personal data inside IDs</t>
  </si>
  <si>
    <t xml:space="preserve">Data Collection</t>
  </si>
  <si>
    <t xml:space="preserve">Raw Data</t>
  </si>
  <si>
    <t xml:space="preserve">Quarantine</t>
  </si>
  <si>
    <t xml:space="preserve">High</t>
  </si>
  <si>
    <t xml:space="preserve">DQ004</t>
  </si>
  <si>
    <t xml:space="preserve">Timestamp present</t>
  </si>
  <si>
    <t xml:space="preserve">missing timestamps</t>
  </si>
  <si>
    <t xml:space="preserve">event_timestamp, created_at, requested_at, started_at</t>
  </si>
  <si>
    <t xml:space="preserve">Not null for every record where the dictionary says Required</t>
  </si>
  <si>
    <t xml:space="preserve">DQ005</t>
  </si>
  <si>
    <t xml:space="preserve">Timestamp format</t>
  </si>
  <si>
    <t xml:space="preserve">malformed dates</t>
  </si>
  <si>
    <t xml:space="preserve">All timestamp fields</t>
  </si>
  <si>
    <t xml:space="preserve">Parses as ISO 8601; day/month order is never guessed</t>
  </si>
  <si>
    <t xml:space="preserve">DQ006</t>
  </si>
  <si>
    <t xml:space="preserve">Timezone explicit</t>
  </si>
  <si>
    <t xml:space="preserve">Carries an explicit offset or is already UTC; stored in UTC (A012)</t>
  </si>
  <si>
    <t xml:space="preserve">Quarantine if the offset is missing</t>
  </si>
  <si>
    <t xml:space="preserve">DQ007</t>
  </si>
  <si>
    <t xml:space="preserve">No future timestamps</t>
  </si>
  <si>
    <t xml:space="preserve">event_timestamp and business timestamps</t>
  </si>
  <si>
    <t xml:space="preserve">Not later than received_timestamp plus an agreed clock tolerance</t>
  </si>
  <si>
    <t xml:space="preserve">Flag and load</t>
  </si>
  <si>
    <t xml:space="preserve">Medium</t>
  </si>
  <si>
    <t xml:space="preserve">DQ008</t>
  </si>
  <si>
    <t xml:space="preserve">Timestamp order</t>
  </si>
  <si>
    <t xml:space="preserve">impossible state transitions</t>
  </si>
  <si>
    <t xml:space="preserve">Task_Activity, Withdrawals, Referrals, Users</t>
  </si>
  <si>
    <t xml:space="preserve">started_at &lt;= completed_at; requested_at &lt;= processing_at &lt;= final_at; created_at &lt;= registered_at &lt;= activated_at &lt;= converted_at</t>
  </si>
  <si>
    <t xml:space="preserve">Analytics Layer</t>
  </si>
  <si>
    <t xml:space="preserve">Data / Analytics</t>
  </si>
  <si>
    <t xml:space="preserve">DQ009</t>
  </si>
  <si>
    <t xml:space="preserve">Allowed status values</t>
  </si>
  <si>
    <t xml:space="preserve">invalid statuses</t>
  </si>
  <si>
    <t xml:space="preserve">status, validation_status, account_status, reward_status, ticket_status</t>
  </si>
  <si>
    <t xml:space="preserve">Value is in the approved list held in a reference table</t>
  </si>
  <si>
    <t xml:space="preserve">Data Collection; Transformation</t>
  </si>
  <si>
    <t xml:space="preserve">DQ010</t>
  </si>
  <si>
    <t xml:space="preserve">Capitalization standard</t>
  </si>
  <si>
    <t xml:space="preserve">inconsistent capitalization</t>
  </si>
  <si>
    <t xml:space="preserve">All enum and category fields</t>
  </si>
  <si>
    <t xml:space="preserve">Stored in lowercase snake_case; 'Completed' and 'COMPLETED' become 'completed'</t>
  </si>
  <si>
    <t xml:space="preserve">Auto-correct and log</t>
  </si>
  <si>
    <t xml:space="preserve">Low</t>
  </si>
  <si>
    <t xml:space="preserve">DQ011</t>
  </si>
  <si>
    <t xml:space="preserve">No stray whitespace</t>
  </si>
  <si>
    <t xml:space="preserve">trailing spaces</t>
  </si>
  <si>
    <t xml:space="preserve">All string fields</t>
  </si>
  <si>
    <t xml:space="preserve">Value equals its trimmed form</t>
  </si>
  <si>
    <t xml:space="preserve">DQ012</t>
  </si>
  <si>
    <t xml:space="preserve">Numeric value valid</t>
  </si>
  <si>
    <t xml:space="preserve">invalid numeric values</t>
  </si>
  <si>
    <t xml:space="preserve">amount, reward_amount, requested_amount, balance_after</t>
  </si>
  <si>
    <t xml:space="preserve">Parses as decimal; no text, no NaN, no thousands separators</t>
  </si>
  <si>
    <t xml:space="preserve">DQ013</t>
  </si>
  <si>
    <t xml:space="preserve">Amounts are positive</t>
  </si>
  <si>
    <t xml:space="preserve">negative values where inappropriate</t>
  </si>
  <si>
    <t xml:space="preserve">amount, reward_amount, requested_amount, completed_amount</t>
  </si>
  <si>
    <t xml:space="preserve">Greater than 0; direction and reversal entries carry the sign, not the amount</t>
  </si>
  <si>
    <t xml:space="preserve">DQ014</t>
  </si>
  <si>
    <t xml:space="preserve">Unit present and approved</t>
  </si>
  <si>
    <t xml:space="preserve">unit, reward_unit, requested_unit</t>
  </si>
  <si>
    <t xml:space="preserve">Present and in the approved unit list; one unit per entry</t>
  </si>
  <si>
    <t xml:space="preserve">Reject at source</t>
  </si>
  <si>
    <t xml:space="preserve">DQ015</t>
  </si>
  <si>
    <t xml:space="preserve">Conditional fields present</t>
  </si>
  <si>
    <t xml:space="preserve">unexpected nulls</t>
  </si>
  <si>
    <t xml:space="preserve">Fields marked Conditional in the dictionary</t>
  </si>
  <si>
    <t xml:space="preserve">completed_at when status = completed; reason_category when rejected or reversed; related_transaction_id on reversals</t>
  </si>
  <si>
    <t xml:space="preserve">Quarantine or Flag and load</t>
  </si>
  <si>
    <t xml:space="preserve">DQ016</t>
  </si>
  <si>
    <t xml:space="preserve">User exists</t>
  </si>
  <si>
    <t xml:space="preserve">orphan records</t>
  </si>
  <si>
    <t xml:space="preserve">Every user_id foreign key</t>
  </si>
  <si>
    <t xml:space="preserve">Value exists in Users</t>
  </si>
  <si>
    <t xml:space="preserve">Raw Data (kept as received); Analytics Layer</t>
  </si>
  <si>
    <t xml:space="preserve">Quarantine (held, not deleted)</t>
  </si>
  <si>
    <t xml:space="preserve">DQ017</t>
  </si>
  <si>
    <t xml:space="preserve">Other foreign keys exist</t>
  </si>
  <si>
    <t xml:space="preserve">task_id, task_activity_id, reward_id, wallet_transaction_id, related_transaction_id, referral foreign keys</t>
  </si>
  <si>
    <t xml:space="preserve">Value exists in its parent table</t>
  </si>
  <si>
    <t xml:space="preserve">DQ018</t>
  </si>
  <si>
    <t xml:space="preserve">Duplicate wallet transaction</t>
  </si>
  <si>
    <t xml:space="preserve">Wallet_Transactions</t>
  </si>
  <si>
    <t xml:space="preserve">One row per transaction_id and one per idempotency_key</t>
  </si>
  <si>
    <t xml:space="preserve">Raw Data; Transformation</t>
  </si>
  <si>
    <t xml:space="preserve">Reject at source (repeat request returns the original entry)</t>
  </si>
  <si>
    <t xml:space="preserve">DQ019</t>
  </si>
  <si>
    <t xml:space="preserve">Duplicate event</t>
  </si>
  <si>
    <t xml:space="preserve">duplicate events</t>
  </si>
  <si>
    <t xml:space="preserve">Feature_Events</t>
  </si>
  <si>
    <t xml:space="preserve">One row per event_id; a retry reuses the same event_id</t>
  </si>
  <si>
    <t xml:space="preserve">Keep first, count and log the rest</t>
  </si>
  <si>
    <t xml:space="preserve">DQ020</t>
  </si>
  <si>
    <t xml:space="preserve">Event name in catalogue</t>
  </si>
  <si>
    <t xml:space="preserve">inconsistent naming</t>
  </si>
  <si>
    <t xml:space="preserve">event_name</t>
  </si>
  <si>
    <t xml:space="preserve">In the Event Tracking Plan; lowercase object_action</t>
  </si>
  <si>
    <t xml:space="preserve">DQ021</t>
  </si>
  <si>
    <t xml:space="preserve">Field names follow dictionary</t>
  </si>
  <si>
    <t xml:space="preserve">All tables</t>
  </si>
  <si>
    <t xml:space="preserve">Column names and types match the data dictionary exactly</t>
  </si>
  <si>
    <t xml:space="preserve">Fail the load; Alert</t>
  </si>
  <si>
    <t xml:space="preserve">DQ022</t>
  </si>
  <si>
    <t xml:space="preserve">Event properties complete</t>
  </si>
  <si>
    <t xml:space="preserve">Feature_Events.properties</t>
  </si>
  <si>
    <t xml:space="preserve">All required properties for the event are present with the right type</t>
  </si>
  <si>
    <t xml:space="preserve">DQ023</t>
  </si>
  <si>
    <t xml:space="preserve">Schema version known</t>
  </si>
  <si>
    <t xml:space="preserve">schema_version</t>
  </si>
  <si>
    <t xml:space="preserve">Version exists in the catalogue</t>
  </si>
  <si>
    <t xml:space="preserve">DQ024</t>
  </si>
  <si>
    <t xml:space="preserve">Task state transitions</t>
  </si>
  <si>
    <t xml:space="preserve">Task_Activity.status</t>
  </si>
  <si>
    <t xml:space="preserve">Only allowed moves, for example no validated after failed</t>
  </si>
  <si>
    <t xml:space="preserve">DQ025</t>
  </si>
  <si>
    <t xml:space="preserve">Reward state transitions</t>
  </si>
  <si>
    <t xml:space="preserve">Rewards.reward_status</t>
  </si>
  <si>
    <t xml:space="preserve">Only allowed moves; no reversed to credited, no credited to pending</t>
  </si>
  <si>
    <t xml:space="preserve">DQ026</t>
  </si>
  <si>
    <t xml:space="preserve">Withdrawal state transitions</t>
  </si>
  <si>
    <t xml:space="preserve">Withdrawals.status</t>
  </si>
  <si>
    <t xml:space="preserve">Only allowed moves; no completed to processing, no completed to rejected</t>
  </si>
  <si>
    <t xml:space="preserve">Flag and load; Alert</t>
  </si>
  <si>
    <t xml:space="preserve">DQ027</t>
  </si>
  <si>
    <t xml:space="preserve">Referral stage order</t>
  </si>
  <si>
    <t xml:space="preserve">Referrals.status</t>
  </si>
  <si>
    <t xml:space="preserve">No activation before registration; no conversion before activation unless the rule allows</t>
  </si>
  <si>
    <t xml:space="preserve">DQ028</t>
  </si>
  <si>
    <t xml:space="preserve">Reversal link valid</t>
  </si>
  <si>
    <t xml:space="preserve">related_transaction_id, original_reward_id</t>
  </si>
  <si>
    <t xml:space="preserve">Exists, is not itself, and does not point to another reversal</t>
  </si>
  <si>
    <t xml:space="preserve">Reject at source (app); Flag and load</t>
  </si>
  <si>
    <t xml:space="preserve">DQ029</t>
  </si>
  <si>
    <t xml:space="preserve">Self-referral</t>
  </si>
  <si>
    <t xml:space="preserve">Referrals</t>
  </si>
  <si>
    <t xml:space="preserve">referred_user_id differs from referring_user_id</t>
  </si>
  <si>
    <t xml:space="preserve">DQ030</t>
  </si>
  <si>
    <t xml:space="preserve">Reward-wallet agreement</t>
  </si>
  <si>
    <t xml:space="preserve">Cross-table consistency</t>
  </si>
  <si>
    <t xml:space="preserve">Rewards, Wallet_Transactions</t>
  </si>
  <si>
    <t xml:space="preserve">Each credited reward has exactly one reward_credit entry with reference_id = reward_id</t>
  </si>
  <si>
    <t xml:space="preserve">Dashboard</t>
  </si>
  <si>
    <t xml:space="preserve">Alert</t>
  </si>
  <si>
    <t xml:space="preserve">DQ031</t>
  </si>
  <si>
    <t xml:space="preserve">Wallet balance agreement</t>
  </si>
  <si>
    <t xml:space="preserve">Sum of completed credits minus debits equals the reported balance per user and unit</t>
  </si>
  <si>
    <t xml:space="preserve">DQ032</t>
  </si>
  <si>
    <t xml:space="preserve">Withdrawal-wallet agreement</t>
  </si>
  <si>
    <t xml:space="preserve">Withdrawals, Wallet_Transactions</t>
  </si>
  <si>
    <t xml:space="preserve">Each completed withdrawal has exactly one active withdrawal_debit entry</t>
  </si>
  <si>
    <t xml:space="preserve">DQ033</t>
  </si>
  <si>
    <t xml:space="preserve">Exchange pairing</t>
  </si>
  <si>
    <t xml:space="preserve">Each exchange_group_id has one debit and one credit</t>
  </si>
  <si>
    <t xml:space="preserve">DQ034</t>
  </si>
  <si>
    <t xml:space="preserve">Task-reward link agreement</t>
  </si>
  <si>
    <t xml:space="preserve">Task_Activity.reward_id, Rewards.task_activity_id</t>
  </si>
  <si>
    <t xml:space="preserve">Both links agree wherever both exist</t>
  </si>
  <si>
    <t xml:space="preserve">DQ035</t>
  </si>
  <si>
    <t xml:space="preserve">No mixed-unit totals</t>
  </si>
  <si>
    <t xml:space="preserve">Dashboard calculations</t>
  </si>
  <si>
    <t xml:space="preserve">No sum or comparison across units without an agreed conversion rule (A002)</t>
  </si>
  <si>
    <t xml:space="preserve">Block</t>
  </si>
  <si>
    <t xml:space="preserve">Analytics / Product</t>
  </si>
  <si>
    <t xml:space="preserve">DQ036</t>
  </si>
  <si>
    <t xml:space="preserve">Data freshness</t>
  </si>
  <si>
    <t xml:space="preserve">Timeliness</t>
  </si>
  <si>
    <t xml:space="preserve">Raw tables</t>
  </si>
  <si>
    <t xml:space="preserve">Latest received_timestamp is within the agreed age; dashboards show 'data as of'</t>
  </si>
  <si>
    <t xml:space="preserve">DQ037</t>
  </si>
  <si>
    <t xml:space="preserve">Late-arriving data</t>
  </si>
  <si>
    <t xml:space="preserve">Delay between event_timestamp and received_timestamp is inside the agreed tolerance; later arrivals trigger a restatement of the affected period</t>
  </si>
  <si>
    <t xml:space="preserve">DQ038</t>
  </si>
  <si>
    <t xml:space="preserve">Volume anomaly</t>
  </si>
  <si>
    <t xml:space="preserve">Completeness</t>
  </si>
  <si>
    <t xml:space="preserve">Daily row counts stay inside an agreed band around the recent average</t>
  </si>
  <si>
    <t xml:space="preserve">DQ039</t>
  </si>
  <si>
    <t xml:space="preserve">Simulated and production data separated</t>
  </si>
  <si>
    <t xml:space="preserve">Environment separation</t>
  </si>
  <si>
    <t xml:space="preserve">All datasets</t>
  </si>
  <si>
    <t xml:space="preserve">Simulated data lives in a separate, labelled location and is never loaded into production tables; dashboards read only from the approved source</t>
  </si>
  <si>
    <t xml:space="preserve">Layer</t>
  </si>
  <si>
    <t xml:space="preserve">Purpose</t>
  </si>
  <si>
    <t xml:space="preserve">Typical Controls</t>
  </si>
  <si>
    <t xml:space="preserve">Failure Handling</t>
  </si>
  <si>
    <t xml:space="preserve">Prevent bad data from being created in the first place</t>
  </si>
  <si>
    <t xml:space="preserve">Database constraints (unique, not null, enum); input validation; server-generated IDs and timestamps; idempotent writes</t>
  </si>
  <si>
    <t xml:space="preserve">Reject the request with a clear error; log it</t>
  </si>
  <si>
    <t xml:space="preserve">Check each event as it arrives</t>
  </si>
  <si>
    <t xml:space="preserve">ID and timestamp checks; schema and event-name check against the catalogue; required properties; de-duplication by event_id</t>
  </si>
  <si>
    <t xml:space="preserve">Quarantine the bad event with a reason; accept the rest</t>
  </si>
  <si>
    <t xml:space="preserve">Keep exactly what arrived, unchanged</t>
  </si>
  <si>
    <t xml:space="preserve">Append-only storage; add received_timestamp; volume and freshness monitoring only</t>
  </si>
  <si>
    <t xml:space="preserve">Never edit; alert on gaps or delays</t>
  </si>
  <si>
    <t xml:space="preserve">Engineering / Data</t>
  </si>
  <si>
    <t xml:space="preserve">Standardise and validate against the dictionary</t>
  </si>
  <si>
    <t xml:space="preserve">Trim and case standardisation; type checks; reference-table checks; foreign keys; state transitions; produce a clean table and a quarantine table</t>
  </si>
  <si>
    <t xml:space="preserve">Auto-correct only safe formatting and log it; quarantine or flag the rest</t>
  </si>
  <si>
    <t xml:space="preserve">Check that tables agree with each other</t>
  </si>
  <si>
    <t xml:space="preserve">Reward-wallet-withdrawal reconciliation; balance checks; build the quality metrics from clean records only</t>
  </si>
  <si>
    <t xml:space="preserve">Alert owners; keep failing records out of KPIs or label them</t>
  </si>
  <si>
    <t xml:space="preserve">Show the user how far to trust the numbers</t>
  </si>
  <si>
    <t xml:space="preserve">'Data as of' time; count of excluded or quarantined records; block unit mixing; show quality status beside key figures</t>
  </si>
  <si>
    <t xml:space="preserve">Block unsafe calculations; display warnings</t>
  </si>
  <si>
    <t xml:space="preserve">Action</t>
  </si>
  <si>
    <t xml:space="preserve">What It Does</t>
  </si>
  <si>
    <t xml:space="preserve">Used For</t>
  </si>
  <si>
    <t xml:space="preserve">Never Used For</t>
  </si>
  <si>
    <t xml:space="preserve">The write or request fails and the caller sees why</t>
  </si>
  <si>
    <t xml:space="preserve">Missing keys, invalid enums, non-positive amounts, repeated transactions</t>
  </si>
  <si>
    <t xml:space="preserve">Silent dropping of data</t>
  </si>
  <si>
    <t xml:space="preserve">The record is held in a quarantine table with the rule ID and reason; it is not used in KPIs until resolved</t>
  </si>
  <si>
    <t xml:space="preserve">Malformed events, orphans, unknown event names, unreadable dates</t>
  </si>
  <si>
    <t xml:space="preserve">Deleting the record</t>
  </si>
  <si>
    <t xml:space="preserve">The record loads with a quality flag so reports can include or exclude it</t>
  </si>
  <si>
    <t xml:space="preserve">Order problems, impossible transitions, soft inconsistencies</t>
  </si>
  <si>
    <t xml:space="preserve">Hiding the flag from reports</t>
  </si>
  <si>
    <t xml:space="preserve">A deterministic formatting fix is applied and logged; the raw value is kept</t>
  </si>
  <si>
    <t xml:space="preserve">Trailing spaces, capitalization</t>
  </si>
  <si>
    <t xml:space="preserve">Changing IDs, amounts, units, statuses or timestamps</t>
  </si>
  <si>
    <t xml:space="preserve">The owner is notified and the issue is logged</t>
  </si>
  <si>
    <t xml:space="preserve">Reconciliation breaks, freshness, volume anomalies</t>
  </si>
  <si>
    <t xml:space="preserve">Relying on someone noticing a dashboard</t>
  </si>
  <si>
    <t xml:space="preserve">The unsafe action is not allowed</t>
  </si>
  <si>
    <t xml:space="preserve">Summing across units, mixing simulated and production data</t>
  </si>
  <si>
    <t xml:space="preserve">-</t>
  </si>
  <si>
    <t xml:space="preserve">Quality Metric</t>
  </si>
  <si>
    <t xml:space="preserve">Definition</t>
  </si>
  <si>
    <t xml:space="preserve">Formula</t>
  </si>
  <si>
    <t xml:space="preserve">Completeness rate</t>
  </si>
  <si>
    <t xml:space="preserve">Share of required fields that are filled</t>
  </si>
  <si>
    <t xml:space="preserve">Non-null required values / required values</t>
  </si>
  <si>
    <t xml:space="preserve">Every table</t>
  </si>
  <si>
    <t xml:space="preserve">Validity rate</t>
  </si>
  <si>
    <t xml:space="preserve">Share of values that pass type and allowed-value checks</t>
  </si>
  <si>
    <t xml:space="preserve">Values passing DQ009, DQ012, DQ013, DQ014 / values checked</t>
  </si>
  <si>
    <t xml:space="preserve">Duplicate rate</t>
  </si>
  <si>
    <t xml:space="preserve">Share of rows or events that repeat a key</t>
  </si>
  <si>
    <t xml:space="preserve">Duplicate rows / total rows, by primary key or event_id</t>
  </si>
  <si>
    <t xml:space="preserve">Every table, Feature_Events</t>
  </si>
  <si>
    <t xml:space="preserve">Orphan rate</t>
  </si>
  <si>
    <t xml:space="preserve">Share of foreign key values with no parent</t>
  </si>
  <si>
    <t xml:space="preserve">Orphan rows / rows with that foreign key, per foreign key</t>
  </si>
  <si>
    <t xml:space="preserve">Every foreign key</t>
  </si>
  <si>
    <t xml:space="preserve">Quarantine rate</t>
  </si>
  <si>
    <t xml:space="preserve">Share of arriving records held back</t>
  </si>
  <si>
    <t xml:space="preserve">Quarantined records / records received, by rule ID</t>
  </si>
  <si>
    <t xml:space="preserve">Collection, Transformation</t>
  </si>
  <si>
    <t xml:space="preserve">Auto-correction rate</t>
  </si>
  <si>
    <t xml:space="preserve">Share of records changed by safe formatting fixes</t>
  </si>
  <si>
    <t xml:space="preserve">Auto-corrected values / values checked</t>
  </si>
  <si>
    <t xml:space="preserve">Reconciliation exceptions</t>
  </si>
  <si>
    <t xml:space="preserve">Cases where tables disagree</t>
  </si>
  <si>
    <t xml:space="preserve">Count of failures of DQ030 to DQ032 (see KPI T01)</t>
  </si>
  <si>
    <t xml:space="preserve">Rewards, Wallet, Withdrawals</t>
  </si>
  <si>
    <t xml:space="preserve">Unresolved soft-reference rate</t>
  </si>
  <si>
    <t xml:space="preserve">Share of event or reference keys that do not resolve to a record</t>
  </si>
  <si>
    <t xml:space="preserve">Unresolved keys / keys present</t>
  </si>
  <si>
    <t xml:space="preserve">Feature_Events, Wallet_Transactions.reference_id</t>
  </si>
  <si>
    <t xml:space="preserve">Event delivery delay</t>
  </si>
  <si>
    <t xml:space="preserve">Typical lag between event and receipt</t>
  </si>
  <si>
    <t xml:space="preserve">Median and 90th percentile of received_timestamp - event_timestamp (KPI T03)</t>
  </si>
  <si>
    <t xml:space="preserve">Open issues by severity</t>
  </si>
  <si>
    <t xml:space="preserve">Backlog of unresolved quality issues</t>
  </si>
  <si>
    <t xml:space="preserve">Count of open issues grouped by severity</t>
  </si>
  <si>
    <t xml:space="preserve">All</t>
  </si>
  <si>
    <t xml:space="preserve">Field</t>
  </si>
  <si>
    <t xml:space="preserve">Type</t>
  </si>
  <si>
    <t xml:space="preserve">Meaning</t>
  </si>
  <si>
    <t xml:space="preserve">quarantine_id</t>
  </si>
  <si>
    <t xml:space="preserve">string</t>
  </si>
  <si>
    <t xml:space="preserve">Key of the quarantined record</t>
  </si>
  <si>
    <t xml:space="preserve">source_table</t>
  </si>
  <si>
    <t xml:space="preserve">Table or event stream the record came from</t>
  </si>
  <si>
    <t xml:space="preserve">source_record_id</t>
  </si>
  <si>
    <t xml:space="preserve">ID of the record, if it had one</t>
  </si>
  <si>
    <t xml:space="preserve">rule_id</t>
  </si>
  <si>
    <t xml:space="preserve">Quality rule that caught it (DQ###)</t>
  </si>
  <si>
    <t xml:space="preserve">reason</t>
  </si>
  <si>
    <t xml:space="preserve">Short reason, no personal data</t>
  </si>
  <si>
    <t xml:space="preserve">detected_at</t>
  </si>
  <si>
    <t xml:space="preserve">timestamp (UTC)</t>
  </si>
  <si>
    <t xml:space="preserve">When it was caught</t>
  </si>
  <si>
    <t xml:space="preserve">raw_reference</t>
  </si>
  <si>
    <t xml:space="preserve">Pointer to the untouched raw record</t>
  </si>
  <si>
    <t xml:space="preserve">status</t>
  </si>
  <si>
    <t xml:space="preserve">open, resolved, discarded with approval</t>
  </si>
  <si>
    <t xml:space="preserve">resolved_at</t>
  </si>
  <si>
    <t xml:space="preserve">When it was resolved</t>
  </si>
  <si>
    <t xml:space="preserve">Typical Response</t>
  </si>
  <si>
    <t xml:space="preserve">Affects identity, balances, payouts or reconciliation; reporting built on it cannot be trusted</t>
  </si>
  <si>
    <t xml:space="preserve">Alert the owner at once; do not publish affected figures</t>
  </si>
  <si>
    <t xml:space="preserve">Breaks a KPI or a major join</t>
  </si>
  <si>
    <t xml:space="preserve">Fix in the current work cycle; flag affected reports</t>
  </si>
  <si>
    <t xml:space="preserve">Distorts a segment or delays data</t>
  </si>
  <si>
    <t xml:space="preserve">Fix in planned work; note on the report</t>
  </si>
  <si>
    <t xml:space="preserve">Formatting or cosmetic; safe to standardise</t>
  </si>
  <si>
    <t xml:space="preserve">Issue type listed in the brief</t>
  </si>
  <si>
    <t xml:space="preserve">Rules covering it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</si>
</sst>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4B6B6"/>
        <bgColor rgb="FFF8CBAD"/>
      </patternFill>
    </fill>
    <fill>
      <patternFill patternType="solid">
        <fgColor rgb="FFFFEB9C"/>
        <bgColor rgb="FFFFFFCC"/>
      </patternFill>
    </fill>
    <fill>
      <patternFill patternType="solid">
        <fgColor rgb="FFF8CBAD"/>
        <bgColor rgb="FFF4B6B6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5" t="s">
        <v>17</v>
      </c>
      <c r="B21" s="5" t="n">
        <f aca="false">COUNTA(Quality_Rules!A:A)-1</f>
        <v>39</v>
      </c>
    </row>
    <row r="22" customFormat="false" ht="15" hidden="false" customHeight="false" outlineLevel="0" collapsed="false">
      <c r="A22" s="5" t="s">
        <v>18</v>
      </c>
      <c r="B22" s="5" t="n">
        <f aca="false">COUNTIF(Quality_Rules!I:I,"Critical")</f>
        <v>11</v>
      </c>
    </row>
    <row r="23" customFormat="false" ht="15" hidden="false" customHeight="false" outlineLevel="0" collapsed="false">
      <c r="A23" s="5" t="s">
        <v>19</v>
      </c>
      <c r="B23" s="5" t="n">
        <f aca="false">COUNTIF(Brief_Check_Coverage!B:B,0)</f>
        <v>0</v>
      </c>
    </row>
    <row r="24" customFormat="false" ht="15" hidden="false" customHeight="false" outlineLevel="0" collapsed="false">
      <c r="A24" s="5" t="s">
        <v>20</v>
      </c>
      <c r="B24" s="5" t="n">
        <f aca="false">COUNTA(Layers!A:A)-1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64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40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</row>
    <row r="2" customFormat="false" ht="23.85" hidden="false" customHeight="false" outlineLevel="0" collapsed="false">
      <c r="A2" s="7" t="s">
        <v>32</v>
      </c>
      <c r="B2" s="7" t="s">
        <v>33</v>
      </c>
      <c r="C2" s="7" t="s">
        <v>34</v>
      </c>
      <c r="D2" s="7" t="s">
        <v>35</v>
      </c>
      <c r="E2" s="7" t="s">
        <v>36</v>
      </c>
      <c r="F2" s="7" t="s">
        <v>37</v>
      </c>
      <c r="G2" s="7" t="s">
        <v>38</v>
      </c>
      <c r="H2" s="7" t="s">
        <v>39</v>
      </c>
      <c r="I2" s="8" t="s">
        <v>40</v>
      </c>
      <c r="J2" s="7" t="s">
        <v>41</v>
      </c>
      <c r="K2" s="9" t="s">
        <v>42</v>
      </c>
    </row>
    <row r="3" customFormat="false" ht="23.85" hidden="false" customHeight="false" outlineLevel="0" collapsed="false">
      <c r="A3" s="7" t="s">
        <v>43</v>
      </c>
      <c r="B3" s="7" t="s">
        <v>44</v>
      </c>
      <c r="C3" s="7" t="s">
        <v>45</v>
      </c>
      <c r="D3" s="7" t="s">
        <v>46</v>
      </c>
      <c r="E3" s="7" t="s">
        <v>47</v>
      </c>
      <c r="F3" s="7" t="s">
        <v>37</v>
      </c>
      <c r="G3" s="7" t="s">
        <v>48</v>
      </c>
      <c r="H3" s="7" t="s">
        <v>49</v>
      </c>
      <c r="I3" s="8" t="s">
        <v>40</v>
      </c>
      <c r="J3" s="7" t="s">
        <v>41</v>
      </c>
      <c r="K3" s="9" t="s">
        <v>42</v>
      </c>
    </row>
    <row r="4" customFormat="false" ht="15" hidden="false" customHeight="false" outlineLevel="0" collapsed="false">
      <c r="A4" s="7" t="s">
        <v>50</v>
      </c>
      <c r="B4" s="7" t="s">
        <v>51</v>
      </c>
      <c r="C4" s="7" t="s">
        <v>34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56</v>
      </c>
      <c r="I4" s="10" t="s">
        <v>57</v>
      </c>
      <c r="J4" s="7" t="s">
        <v>41</v>
      </c>
      <c r="K4" s="9" t="s">
        <v>42</v>
      </c>
    </row>
    <row r="5" customFormat="false" ht="23.85" hidden="false" customHeight="false" outlineLevel="0" collapsed="false">
      <c r="A5" s="7" t="s">
        <v>58</v>
      </c>
      <c r="B5" s="7" t="s">
        <v>59</v>
      </c>
      <c r="C5" s="7" t="s">
        <v>60</v>
      </c>
      <c r="D5" s="7" t="s">
        <v>61</v>
      </c>
      <c r="E5" s="7" t="s">
        <v>62</v>
      </c>
      <c r="F5" s="7" t="s">
        <v>37</v>
      </c>
      <c r="G5" s="7" t="s">
        <v>54</v>
      </c>
      <c r="H5" s="7" t="s">
        <v>39</v>
      </c>
      <c r="I5" s="10" t="s">
        <v>57</v>
      </c>
      <c r="J5" s="7" t="s">
        <v>41</v>
      </c>
      <c r="K5" s="9" t="s">
        <v>42</v>
      </c>
    </row>
    <row r="6" customFormat="false" ht="15" hidden="false" customHeight="false" outlineLevel="0" collapsed="false">
      <c r="A6" s="7" t="s">
        <v>63</v>
      </c>
      <c r="B6" s="7" t="s">
        <v>64</v>
      </c>
      <c r="C6" s="7" t="s">
        <v>65</v>
      </c>
      <c r="D6" s="7" t="s">
        <v>66</v>
      </c>
      <c r="E6" s="7" t="s">
        <v>67</v>
      </c>
      <c r="F6" s="7" t="s">
        <v>54</v>
      </c>
      <c r="G6" s="7" t="s">
        <v>48</v>
      </c>
      <c r="H6" s="7" t="s">
        <v>56</v>
      </c>
      <c r="I6" s="10" t="s">
        <v>57</v>
      </c>
      <c r="J6" s="7" t="s">
        <v>41</v>
      </c>
      <c r="K6" s="9" t="s">
        <v>42</v>
      </c>
    </row>
    <row r="7" customFormat="false" ht="15" hidden="false" customHeight="false" outlineLevel="0" collapsed="false">
      <c r="A7" s="7" t="s">
        <v>68</v>
      </c>
      <c r="B7" s="7" t="s">
        <v>69</v>
      </c>
      <c r="C7" s="7" t="s">
        <v>65</v>
      </c>
      <c r="D7" s="7" t="s">
        <v>66</v>
      </c>
      <c r="E7" s="7" t="s">
        <v>70</v>
      </c>
      <c r="F7" s="7" t="s">
        <v>54</v>
      </c>
      <c r="G7" s="7" t="s">
        <v>48</v>
      </c>
      <c r="H7" s="7" t="s">
        <v>71</v>
      </c>
      <c r="I7" s="10" t="s">
        <v>57</v>
      </c>
      <c r="J7" s="7" t="s">
        <v>41</v>
      </c>
      <c r="K7" s="9" t="s">
        <v>42</v>
      </c>
    </row>
    <row r="8" customFormat="false" ht="15" hidden="false" customHeight="false" outlineLevel="0" collapsed="false">
      <c r="A8" s="7" t="s">
        <v>72</v>
      </c>
      <c r="B8" s="7" t="s">
        <v>73</v>
      </c>
      <c r="C8" s="7" t="s">
        <v>65</v>
      </c>
      <c r="D8" s="7" t="s">
        <v>74</v>
      </c>
      <c r="E8" s="7" t="s">
        <v>75</v>
      </c>
      <c r="F8" s="7" t="s">
        <v>54</v>
      </c>
      <c r="G8" s="7" t="s">
        <v>48</v>
      </c>
      <c r="H8" s="7" t="s">
        <v>76</v>
      </c>
      <c r="I8" s="9" t="s">
        <v>77</v>
      </c>
      <c r="J8" s="7" t="s">
        <v>41</v>
      </c>
      <c r="K8" s="9" t="s">
        <v>42</v>
      </c>
    </row>
    <row r="9" customFormat="false" ht="23.85" hidden="false" customHeight="false" outlineLevel="0" collapsed="false">
      <c r="A9" s="7" t="s">
        <v>78</v>
      </c>
      <c r="B9" s="7" t="s">
        <v>79</v>
      </c>
      <c r="C9" s="7" t="s">
        <v>80</v>
      </c>
      <c r="D9" s="7" t="s">
        <v>81</v>
      </c>
      <c r="E9" s="7" t="s">
        <v>82</v>
      </c>
      <c r="F9" s="7" t="s">
        <v>48</v>
      </c>
      <c r="G9" s="7" t="s">
        <v>83</v>
      </c>
      <c r="H9" s="7" t="s">
        <v>76</v>
      </c>
      <c r="I9" s="9" t="s">
        <v>77</v>
      </c>
      <c r="J9" s="7" t="s">
        <v>84</v>
      </c>
      <c r="K9" s="9" t="s">
        <v>42</v>
      </c>
    </row>
    <row r="10" customFormat="false" ht="23.85" hidden="false" customHeight="false" outlineLevel="0" collapsed="false">
      <c r="A10" s="7" t="s">
        <v>85</v>
      </c>
      <c r="B10" s="7" t="s">
        <v>86</v>
      </c>
      <c r="C10" s="7" t="s">
        <v>87</v>
      </c>
      <c r="D10" s="7" t="s">
        <v>88</v>
      </c>
      <c r="E10" s="7" t="s">
        <v>89</v>
      </c>
      <c r="F10" s="7" t="s">
        <v>37</v>
      </c>
      <c r="G10" s="7" t="s">
        <v>90</v>
      </c>
      <c r="H10" s="7" t="s">
        <v>39</v>
      </c>
      <c r="I10" s="10" t="s">
        <v>57</v>
      </c>
      <c r="J10" s="7" t="s">
        <v>41</v>
      </c>
      <c r="K10" s="9" t="s">
        <v>42</v>
      </c>
    </row>
    <row r="11" customFormat="false" ht="23.85" hidden="false" customHeight="false" outlineLevel="0" collapsed="false">
      <c r="A11" s="7" t="s">
        <v>91</v>
      </c>
      <c r="B11" s="7" t="s">
        <v>92</v>
      </c>
      <c r="C11" s="7" t="s">
        <v>93</v>
      </c>
      <c r="D11" s="7" t="s">
        <v>94</v>
      </c>
      <c r="E11" s="7" t="s">
        <v>95</v>
      </c>
      <c r="F11" s="7" t="s">
        <v>48</v>
      </c>
      <c r="G11" s="7" t="s">
        <v>54</v>
      </c>
      <c r="H11" s="7" t="s">
        <v>96</v>
      </c>
      <c r="I11" s="11" t="s">
        <v>97</v>
      </c>
      <c r="J11" s="7" t="s">
        <v>84</v>
      </c>
      <c r="K11" s="9" t="s">
        <v>42</v>
      </c>
    </row>
    <row r="12" customFormat="false" ht="15" hidden="false" customHeight="false" outlineLevel="0" collapsed="false">
      <c r="A12" s="7" t="s">
        <v>98</v>
      </c>
      <c r="B12" s="7" t="s">
        <v>99</v>
      </c>
      <c r="C12" s="7" t="s">
        <v>100</v>
      </c>
      <c r="D12" s="7" t="s">
        <v>101</v>
      </c>
      <c r="E12" s="7" t="s">
        <v>102</v>
      </c>
      <c r="F12" s="7" t="s">
        <v>48</v>
      </c>
      <c r="G12" s="7" t="s">
        <v>54</v>
      </c>
      <c r="H12" s="7" t="s">
        <v>96</v>
      </c>
      <c r="I12" s="11" t="s">
        <v>97</v>
      </c>
      <c r="J12" s="7" t="s">
        <v>84</v>
      </c>
      <c r="K12" s="9" t="s">
        <v>42</v>
      </c>
    </row>
    <row r="13" customFormat="false" ht="23.85" hidden="false" customHeight="false" outlineLevel="0" collapsed="false">
      <c r="A13" s="7" t="s">
        <v>103</v>
      </c>
      <c r="B13" s="7" t="s">
        <v>104</v>
      </c>
      <c r="C13" s="7" t="s">
        <v>105</v>
      </c>
      <c r="D13" s="7" t="s">
        <v>106</v>
      </c>
      <c r="E13" s="7" t="s">
        <v>107</v>
      </c>
      <c r="F13" s="7" t="s">
        <v>37</v>
      </c>
      <c r="G13" s="7" t="s">
        <v>90</v>
      </c>
      <c r="H13" s="7" t="s">
        <v>39</v>
      </c>
      <c r="I13" s="10" t="s">
        <v>57</v>
      </c>
      <c r="J13" s="7" t="s">
        <v>41</v>
      </c>
      <c r="K13" s="9" t="s">
        <v>42</v>
      </c>
    </row>
    <row r="14" customFormat="false" ht="23.85" hidden="false" customHeight="false" outlineLevel="0" collapsed="false">
      <c r="A14" s="7" t="s">
        <v>108</v>
      </c>
      <c r="B14" s="7" t="s">
        <v>109</v>
      </c>
      <c r="C14" s="7" t="s">
        <v>110</v>
      </c>
      <c r="D14" s="7" t="s">
        <v>111</v>
      </c>
      <c r="E14" s="7" t="s">
        <v>112</v>
      </c>
      <c r="F14" s="7" t="s">
        <v>37</v>
      </c>
      <c r="G14" s="7" t="s">
        <v>48</v>
      </c>
      <c r="H14" s="7" t="s">
        <v>39</v>
      </c>
      <c r="I14" s="8" t="s">
        <v>40</v>
      </c>
      <c r="J14" s="7" t="s">
        <v>41</v>
      </c>
      <c r="K14" s="9" t="s">
        <v>42</v>
      </c>
    </row>
    <row r="15" customFormat="false" ht="15" hidden="false" customHeight="false" outlineLevel="0" collapsed="false">
      <c r="A15" s="7" t="s">
        <v>113</v>
      </c>
      <c r="B15" s="7" t="s">
        <v>114</v>
      </c>
      <c r="C15" s="7" t="s">
        <v>87</v>
      </c>
      <c r="D15" s="7" t="s">
        <v>115</v>
      </c>
      <c r="E15" s="7" t="s">
        <v>116</v>
      </c>
      <c r="F15" s="7" t="s">
        <v>37</v>
      </c>
      <c r="G15" s="7" t="s">
        <v>54</v>
      </c>
      <c r="H15" s="7" t="s">
        <v>117</v>
      </c>
      <c r="I15" s="8" t="s">
        <v>40</v>
      </c>
      <c r="J15" s="7" t="s">
        <v>41</v>
      </c>
      <c r="K15" s="9" t="s">
        <v>42</v>
      </c>
    </row>
    <row r="16" customFormat="false" ht="23.85" hidden="false" customHeight="false" outlineLevel="0" collapsed="false">
      <c r="A16" s="7" t="s">
        <v>118</v>
      </c>
      <c r="B16" s="7" t="s">
        <v>119</v>
      </c>
      <c r="C16" s="7" t="s">
        <v>120</v>
      </c>
      <c r="D16" s="7" t="s">
        <v>121</v>
      </c>
      <c r="E16" s="7" t="s">
        <v>122</v>
      </c>
      <c r="F16" s="7" t="s">
        <v>54</v>
      </c>
      <c r="G16" s="7" t="s">
        <v>48</v>
      </c>
      <c r="H16" s="7" t="s">
        <v>123</v>
      </c>
      <c r="I16" s="10" t="s">
        <v>57</v>
      </c>
      <c r="J16" s="7" t="s">
        <v>41</v>
      </c>
      <c r="K16" s="9" t="s">
        <v>42</v>
      </c>
    </row>
    <row r="17" customFormat="false" ht="23.85" hidden="false" customHeight="false" outlineLevel="0" collapsed="false">
      <c r="A17" s="7" t="s">
        <v>124</v>
      </c>
      <c r="B17" s="7" t="s">
        <v>125</v>
      </c>
      <c r="C17" s="7" t="s">
        <v>126</v>
      </c>
      <c r="D17" s="7" t="s">
        <v>127</v>
      </c>
      <c r="E17" s="7" t="s">
        <v>128</v>
      </c>
      <c r="F17" s="7" t="s">
        <v>48</v>
      </c>
      <c r="G17" s="7" t="s">
        <v>129</v>
      </c>
      <c r="H17" s="7" t="s">
        <v>130</v>
      </c>
      <c r="I17" s="8" t="s">
        <v>40</v>
      </c>
      <c r="J17" s="7" t="s">
        <v>84</v>
      </c>
      <c r="K17" s="9" t="s">
        <v>42</v>
      </c>
    </row>
    <row r="18" customFormat="false" ht="35.05" hidden="false" customHeight="false" outlineLevel="0" collapsed="false">
      <c r="A18" s="7" t="s">
        <v>131</v>
      </c>
      <c r="B18" s="7" t="s">
        <v>132</v>
      </c>
      <c r="C18" s="7" t="s">
        <v>126</v>
      </c>
      <c r="D18" s="7" t="s">
        <v>133</v>
      </c>
      <c r="E18" s="7" t="s">
        <v>134</v>
      </c>
      <c r="F18" s="7" t="s">
        <v>48</v>
      </c>
      <c r="G18" s="7" t="s">
        <v>83</v>
      </c>
      <c r="H18" s="7" t="s">
        <v>76</v>
      </c>
      <c r="I18" s="10" t="s">
        <v>57</v>
      </c>
      <c r="J18" s="7" t="s">
        <v>84</v>
      </c>
      <c r="K18" s="9" t="s">
        <v>42</v>
      </c>
    </row>
    <row r="19" customFormat="false" ht="23.85" hidden="false" customHeight="false" outlineLevel="0" collapsed="false">
      <c r="A19" s="7" t="s">
        <v>135</v>
      </c>
      <c r="B19" s="7" t="s">
        <v>136</v>
      </c>
      <c r="C19" s="7" t="s">
        <v>45</v>
      </c>
      <c r="D19" s="7" t="s">
        <v>137</v>
      </c>
      <c r="E19" s="7" t="s">
        <v>138</v>
      </c>
      <c r="F19" s="7" t="s">
        <v>37</v>
      </c>
      <c r="G19" s="7" t="s">
        <v>139</v>
      </c>
      <c r="H19" s="7" t="s">
        <v>140</v>
      </c>
      <c r="I19" s="8" t="s">
        <v>40</v>
      </c>
      <c r="J19" s="7" t="s">
        <v>41</v>
      </c>
      <c r="K19" s="9" t="s">
        <v>42</v>
      </c>
    </row>
    <row r="20" customFormat="false" ht="15" hidden="false" customHeight="false" outlineLevel="0" collapsed="false">
      <c r="A20" s="7" t="s">
        <v>141</v>
      </c>
      <c r="B20" s="7" t="s">
        <v>142</v>
      </c>
      <c r="C20" s="7" t="s">
        <v>143</v>
      </c>
      <c r="D20" s="7" t="s">
        <v>144</v>
      </c>
      <c r="E20" s="7" t="s">
        <v>145</v>
      </c>
      <c r="F20" s="7" t="s">
        <v>54</v>
      </c>
      <c r="G20" s="7" t="s">
        <v>139</v>
      </c>
      <c r="H20" s="7" t="s">
        <v>146</v>
      </c>
      <c r="I20" s="10" t="s">
        <v>57</v>
      </c>
      <c r="J20" s="7" t="s">
        <v>41</v>
      </c>
      <c r="K20" s="9" t="s">
        <v>42</v>
      </c>
    </row>
    <row r="21" customFormat="false" ht="15" hidden="false" customHeight="false" outlineLevel="0" collapsed="false">
      <c r="A21" s="7" t="s">
        <v>147</v>
      </c>
      <c r="B21" s="7" t="s">
        <v>148</v>
      </c>
      <c r="C21" s="7" t="s">
        <v>149</v>
      </c>
      <c r="D21" s="7" t="s">
        <v>150</v>
      </c>
      <c r="E21" s="7" t="s">
        <v>151</v>
      </c>
      <c r="F21" s="7" t="s">
        <v>54</v>
      </c>
      <c r="G21" s="7" t="s">
        <v>48</v>
      </c>
      <c r="H21" s="7" t="s">
        <v>56</v>
      </c>
      <c r="I21" s="10" t="s">
        <v>57</v>
      </c>
      <c r="J21" s="7" t="s">
        <v>41</v>
      </c>
      <c r="K21" s="9" t="s">
        <v>42</v>
      </c>
    </row>
    <row r="22" customFormat="false" ht="15" hidden="false" customHeight="false" outlineLevel="0" collapsed="false">
      <c r="A22" s="7" t="s">
        <v>152</v>
      </c>
      <c r="B22" s="7" t="s">
        <v>153</v>
      </c>
      <c r="C22" s="7" t="s">
        <v>149</v>
      </c>
      <c r="D22" s="7" t="s">
        <v>154</v>
      </c>
      <c r="E22" s="7" t="s">
        <v>155</v>
      </c>
      <c r="F22" s="7" t="s">
        <v>48</v>
      </c>
      <c r="G22" s="7" t="s">
        <v>83</v>
      </c>
      <c r="H22" s="7" t="s">
        <v>156</v>
      </c>
      <c r="I22" s="9" t="s">
        <v>77</v>
      </c>
      <c r="J22" s="7" t="s">
        <v>84</v>
      </c>
      <c r="K22" s="9" t="s">
        <v>42</v>
      </c>
    </row>
    <row r="23" customFormat="false" ht="15" hidden="false" customHeight="false" outlineLevel="0" collapsed="false">
      <c r="A23" s="7" t="s">
        <v>157</v>
      </c>
      <c r="B23" s="7" t="s">
        <v>158</v>
      </c>
      <c r="C23" s="7" t="s">
        <v>120</v>
      </c>
      <c r="D23" s="7" t="s">
        <v>159</v>
      </c>
      <c r="E23" s="7" t="s">
        <v>160</v>
      </c>
      <c r="F23" s="7" t="s">
        <v>54</v>
      </c>
      <c r="G23" s="7" t="s">
        <v>48</v>
      </c>
      <c r="H23" s="7" t="s">
        <v>56</v>
      </c>
      <c r="I23" s="10" t="s">
        <v>57</v>
      </c>
      <c r="J23" s="7" t="s">
        <v>41</v>
      </c>
      <c r="K23" s="9" t="s">
        <v>42</v>
      </c>
    </row>
    <row r="24" customFormat="false" ht="15" hidden="false" customHeight="false" outlineLevel="0" collapsed="false">
      <c r="A24" s="7" t="s">
        <v>161</v>
      </c>
      <c r="B24" s="7" t="s">
        <v>162</v>
      </c>
      <c r="C24" s="7" t="s">
        <v>149</v>
      </c>
      <c r="D24" s="7" t="s">
        <v>163</v>
      </c>
      <c r="E24" s="7" t="s">
        <v>164</v>
      </c>
      <c r="F24" s="7" t="s">
        <v>54</v>
      </c>
      <c r="G24" s="7" t="s">
        <v>55</v>
      </c>
      <c r="H24" s="7" t="s">
        <v>56</v>
      </c>
      <c r="I24" s="9" t="s">
        <v>77</v>
      </c>
      <c r="J24" s="7" t="s">
        <v>41</v>
      </c>
      <c r="K24" s="9" t="s">
        <v>42</v>
      </c>
    </row>
    <row r="25" customFormat="false" ht="15" hidden="false" customHeight="false" outlineLevel="0" collapsed="false">
      <c r="A25" s="7" t="s">
        <v>165</v>
      </c>
      <c r="B25" s="7" t="s">
        <v>166</v>
      </c>
      <c r="C25" s="7" t="s">
        <v>80</v>
      </c>
      <c r="D25" s="7" t="s">
        <v>167</v>
      </c>
      <c r="E25" s="7" t="s">
        <v>168</v>
      </c>
      <c r="F25" s="7" t="s">
        <v>48</v>
      </c>
      <c r="G25" s="7" t="s">
        <v>83</v>
      </c>
      <c r="H25" s="7" t="s">
        <v>76</v>
      </c>
      <c r="I25" s="10" t="s">
        <v>57</v>
      </c>
      <c r="J25" s="7" t="s">
        <v>84</v>
      </c>
      <c r="K25" s="9" t="s">
        <v>42</v>
      </c>
    </row>
    <row r="26" customFormat="false" ht="15" hidden="false" customHeight="false" outlineLevel="0" collapsed="false">
      <c r="A26" s="7" t="s">
        <v>169</v>
      </c>
      <c r="B26" s="7" t="s">
        <v>170</v>
      </c>
      <c r="C26" s="7" t="s">
        <v>80</v>
      </c>
      <c r="D26" s="7" t="s">
        <v>171</v>
      </c>
      <c r="E26" s="7" t="s">
        <v>172</v>
      </c>
      <c r="F26" s="7" t="s">
        <v>48</v>
      </c>
      <c r="G26" s="7" t="s">
        <v>83</v>
      </c>
      <c r="H26" s="7" t="s">
        <v>76</v>
      </c>
      <c r="I26" s="10" t="s">
        <v>57</v>
      </c>
      <c r="J26" s="7" t="s">
        <v>84</v>
      </c>
      <c r="K26" s="9" t="s">
        <v>42</v>
      </c>
    </row>
    <row r="27" customFormat="false" ht="15" hidden="false" customHeight="false" outlineLevel="0" collapsed="false">
      <c r="A27" s="7" t="s">
        <v>173</v>
      </c>
      <c r="B27" s="7" t="s">
        <v>174</v>
      </c>
      <c r="C27" s="7" t="s">
        <v>80</v>
      </c>
      <c r="D27" s="7" t="s">
        <v>175</v>
      </c>
      <c r="E27" s="7" t="s">
        <v>176</v>
      </c>
      <c r="F27" s="7" t="s">
        <v>48</v>
      </c>
      <c r="G27" s="7" t="s">
        <v>83</v>
      </c>
      <c r="H27" s="7" t="s">
        <v>177</v>
      </c>
      <c r="I27" s="8" t="s">
        <v>40</v>
      </c>
      <c r="J27" s="7" t="s">
        <v>84</v>
      </c>
      <c r="K27" s="9" t="s">
        <v>42</v>
      </c>
    </row>
    <row r="28" customFormat="false" ht="23.85" hidden="false" customHeight="false" outlineLevel="0" collapsed="false">
      <c r="A28" s="7" t="s">
        <v>178</v>
      </c>
      <c r="B28" s="7" t="s">
        <v>179</v>
      </c>
      <c r="C28" s="7" t="s">
        <v>80</v>
      </c>
      <c r="D28" s="7" t="s">
        <v>180</v>
      </c>
      <c r="E28" s="7" t="s">
        <v>181</v>
      </c>
      <c r="F28" s="7" t="s">
        <v>48</v>
      </c>
      <c r="G28" s="7" t="s">
        <v>83</v>
      </c>
      <c r="H28" s="7" t="s">
        <v>76</v>
      </c>
      <c r="I28" s="9" t="s">
        <v>77</v>
      </c>
      <c r="J28" s="7" t="s">
        <v>84</v>
      </c>
      <c r="K28" s="9" t="s">
        <v>42</v>
      </c>
    </row>
    <row r="29" customFormat="false" ht="15" hidden="false" customHeight="false" outlineLevel="0" collapsed="false">
      <c r="A29" s="7" t="s">
        <v>182</v>
      </c>
      <c r="B29" s="7" t="s">
        <v>183</v>
      </c>
      <c r="C29" s="7" t="s">
        <v>126</v>
      </c>
      <c r="D29" s="7" t="s">
        <v>184</v>
      </c>
      <c r="E29" s="7" t="s">
        <v>185</v>
      </c>
      <c r="F29" s="7" t="s">
        <v>37</v>
      </c>
      <c r="G29" s="7" t="s">
        <v>48</v>
      </c>
      <c r="H29" s="7" t="s">
        <v>186</v>
      </c>
      <c r="I29" s="10" t="s">
        <v>57</v>
      </c>
      <c r="J29" s="7" t="s">
        <v>41</v>
      </c>
      <c r="K29" s="9" t="s">
        <v>42</v>
      </c>
    </row>
    <row r="30" customFormat="false" ht="15" hidden="false" customHeight="false" outlineLevel="0" collapsed="false">
      <c r="A30" s="7" t="s">
        <v>187</v>
      </c>
      <c r="B30" s="7" t="s">
        <v>188</v>
      </c>
      <c r="C30" s="7" t="s">
        <v>80</v>
      </c>
      <c r="D30" s="7" t="s">
        <v>189</v>
      </c>
      <c r="E30" s="7" t="s">
        <v>190</v>
      </c>
      <c r="F30" s="7" t="s">
        <v>37</v>
      </c>
      <c r="G30" s="7" t="s">
        <v>48</v>
      </c>
      <c r="H30" s="7" t="s">
        <v>186</v>
      </c>
      <c r="I30" s="10" t="s">
        <v>57</v>
      </c>
      <c r="J30" s="7" t="s">
        <v>41</v>
      </c>
      <c r="K30" s="9" t="s">
        <v>42</v>
      </c>
    </row>
    <row r="31" customFormat="false" ht="23.85" hidden="false" customHeight="false" outlineLevel="0" collapsed="false">
      <c r="A31" s="7" t="s">
        <v>191</v>
      </c>
      <c r="B31" s="7" t="s">
        <v>192</v>
      </c>
      <c r="C31" s="7" t="s">
        <v>193</v>
      </c>
      <c r="D31" s="7" t="s">
        <v>194</v>
      </c>
      <c r="E31" s="7" t="s">
        <v>195</v>
      </c>
      <c r="F31" s="7" t="s">
        <v>83</v>
      </c>
      <c r="G31" s="7" t="s">
        <v>196</v>
      </c>
      <c r="H31" s="7" t="s">
        <v>197</v>
      </c>
      <c r="I31" s="8" t="s">
        <v>40</v>
      </c>
      <c r="J31" s="7" t="s">
        <v>84</v>
      </c>
      <c r="K31" s="9" t="s">
        <v>42</v>
      </c>
    </row>
    <row r="32" customFormat="false" ht="23.85" hidden="false" customHeight="false" outlineLevel="0" collapsed="false">
      <c r="A32" s="7" t="s">
        <v>198</v>
      </c>
      <c r="B32" s="7" t="s">
        <v>199</v>
      </c>
      <c r="C32" s="7" t="s">
        <v>193</v>
      </c>
      <c r="D32" s="7" t="s">
        <v>137</v>
      </c>
      <c r="E32" s="7" t="s">
        <v>200</v>
      </c>
      <c r="F32" s="7" t="s">
        <v>83</v>
      </c>
      <c r="G32" s="7" t="s">
        <v>196</v>
      </c>
      <c r="H32" s="7" t="s">
        <v>197</v>
      </c>
      <c r="I32" s="8" t="s">
        <v>40</v>
      </c>
      <c r="J32" s="7" t="s">
        <v>84</v>
      </c>
      <c r="K32" s="9" t="s">
        <v>42</v>
      </c>
    </row>
    <row r="33" customFormat="false" ht="15" hidden="false" customHeight="false" outlineLevel="0" collapsed="false">
      <c r="A33" s="7" t="s">
        <v>201</v>
      </c>
      <c r="B33" s="7" t="s">
        <v>202</v>
      </c>
      <c r="C33" s="7" t="s">
        <v>193</v>
      </c>
      <c r="D33" s="7" t="s">
        <v>203</v>
      </c>
      <c r="E33" s="7" t="s">
        <v>204</v>
      </c>
      <c r="F33" s="7" t="s">
        <v>83</v>
      </c>
      <c r="G33" s="7" t="s">
        <v>196</v>
      </c>
      <c r="H33" s="7" t="s">
        <v>197</v>
      </c>
      <c r="I33" s="8" t="s">
        <v>40</v>
      </c>
      <c r="J33" s="7" t="s">
        <v>84</v>
      </c>
      <c r="K33" s="9" t="s">
        <v>42</v>
      </c>
    </row>
    <row r="34" customFormat="false" ht="15" hidden="false" customHeight="false" outlineLevel="0" collapsed="false">
      <c r="A34" s="7" t="s">
        <v>205</v>
      </c>
      <c r="B34" s="7" t="s">
        <v>206</v>
      </c>
      <c r="C34" s="7" t="s">
        <v>193</v>
      </c>
      <c r="D34" s="7" t="s">
        <v>137</v>
      </c>
      <c r="E34" s="7" t="s">
        <v>207</v>
      </c>
      <c r="F34" s="7" t="s">
        <v>48</v>
      </c>
      <c r="G34" s="7" t="s">
        <v>83</v>
      </c>
      <c r="H34" s="7" t="s">
        <v>76</v>
      </c>
      <c r="I34" s="10" t="s">
        <v>57</v>
      </c>
      <c r="J34" s="7" t="s">
        <v>84</v>
      </c>
      <c r="K34" s="9" t="s">
        <v>42</v>
      </c>
    </row>
    <row r="35" customFormat="false" ht="23.85" hidden="false" customHeight="false" outlineLevel="0" collapsed="false">
      <c r="A35" s="7" t="s">
        <v>208</v>
      </c>
      <c r="B35" s="7" t="s">
        <v>209</v>
      </c>
      <c r="C35" s="7" t="s">
        <v>193</v>
      </c>
      <c r="D35" s="7" t="s">
        <v>210</v>
      </c>
      <c r="E35" s="7" t="s">
        <v>211</v>
      </c>
      <c r="F35" s="7" t="s">
        <v>83</v>
      </c>
      <c r="G35" s="7" t="s">
        <v>196</v>
      </c>
      <c r="H35" s="7" t="s">
        <v>76</v>
      </c>
      <c r="I35" s="10" t="s">
        <v>57</v>
      </c>
      <c r="J35" s="7" t="s">
        <v>84</v>
      </c>
      <c r="K35" s="9" t="s">
        <v>42</v>
      </c>
    </row>
    <row r="36" customFormat="false" ht="15" hidden="false" customHeight="false" outlineLevel="0" collapsed="false">
      <c r="A36" s="7" t="s">
        <v>212</v>
      </c>
      <c r="B36" s="7" t="s">
        <v>213</v>
      </c>
      <c r="C36" s="7" t="s">
        <v>193</v>
      </c>
      <c r="D36" s="7" t="s">
        <v>214</v>
      </c>
      <c r="E36" s="7" t="s">
        <v>215</v>
      </c>
      <c r="F36" s="7" t="s">
        <v>196</v>
      </c>
      <c r="G36" s="7" t="s">
        <v>83</v>
      </c>
      <c r="H36" s="7" t="s">
        <v>216</v>
      </c>
      <c r="I36" s="10" t="s">
        <v>57</v>
      </c>
      <c r="J36" s="7" t="s">
        <v>217</v>
      </c>
      <c r="K36" s="9" t="s">
        <v>42</v>
      </c>
    </row>
    <row r="37" customFormat="false" ht="23.85" hidden="false" customHeight="false" outlineLevel="0" collapsed="false">
      <c r="A37" s="7" t="s">
        <v>218</v>
      </c>
      <c r="B37" s="7" t="s">
        <v>219</v>
      </c>
      <c r="C37" s="7" t="s">
        <v>220</v>
      </c>
      <c r="D37" s="7" t="s">
        <v>221</v>
      </c>
      <c r="E37" s="7" t="s">
        <v>222</v>
      </c>
      <c r="F37" s="7" t="s">
        <v>55</v>
      </c>
      <c r="G37" s="7" t="s">
        <v>196</v>
      </c>
      <c r="H37" s="7" t="s">
        <v>197</v>
      </c>
      <c r="I37" s="9" t="s">
        <v>77</v>
      </c>
      <c r="J37" s="7" t="s">
        <v>41</v>
      </c>
      <c r="K37" s="9" t="s">
        <v>42</v>
      </c>
    </row>
    <row r="38" customFormat="false" ht="23.85" hidden="false" customHeight="false" outlineLevel="0" collapsed="false">
      <c r="A38" s="7" t="s">
        <v>223</v>
      </c>
      <c r="B38" s="7" t="s">
        <v>224</v>
      </c>
      <c r="C38" s="7" t="s">
        <v>220</v>
      </c>
      <c r="D38" s="7" t="s">
        <v>144</v>
      </c>
      <c r="E38" s="7" t="s">
        <v>225</v>
      </c>
      <c r="F38" s="7" t="s">
        <v>54</v>
      </c>
      <c r="G38" s="7" t="s">
        <v>83</v>
      </c>
      <c r="H38" s="7" t="s">
        <v>76</v>
      </c>
      <c r="I38" s="9" t="s">
        <v>77</v>
      </c>
      <c r="J38" s="7" t="s">
        <v>41</v>
      </c>
      <c r="K38" s="9" t="s">
        <v>42</v>
      </c>
    </row>
    <row r="39" customFormat="false" ht="15" hidden="false" customHeight="false" outlineLevel="0" collapsed="false">
      <c r="A39" s="7" t="s">
        <v>226</v>
      </c>
      <c r="B39" s="7" t="s">
        <v>227</v>
      </c>
      <c r="C39" s="7" t="s">
        <v>228</v>
      </c>
      <c r="D39" s="7" t="s">
        <v>221</v>
      </c>
      <c r="E39" s="7" t="s">
        <v>229</v>
      </c>
      <c r="F39" s="7" t="s">
        <v>55</v>
      </c>
      <c r="G39" s="7" t="s">
        <v>196</v>
      </c>
      <c r="H39" s="7" t="s">
        <v>197</v>
      </c>
      <c r="I39" s="9" t="s">
        <v>77</v>
      </c>
      <c r="J39" s="7" t="s">
        <v>41</v>
      </c>
      <c r="K39" s="9" t="s">
        <v>42</v>
      </c>
    </row>
    <row r="40" customFormat="false" ht="23.85" hidden="false" customHeight="false" outlineLevel="0" collapsed="false">
      <c r="A40" s="7" t="s">
        <v>230</v>
      </c>
      <c r="B40" s="7" t="s">
        <v>231</v>
      </c>
      <c r="C40" s="7" t="s">
        <v>232</v>
      </c>
      <c r="D40" s="7" t="s">
        <v>233</v>
      </c>
      <c r="E40" s="7" t="s">
        <v>234</v>
      </c>
      <c r="F40" s="7" t="s">
        <v>55</v>
      </c>
      <c r="G40" s="7" t="s">
        <v>83</v>
      </c>
      <c r="H40" s="7" t="s">
        <v>216</v>
      </c>
      <c r="I40" s="8" t="s">
        <v>40</v>
      </c>
      <c r="J40" s="7" t="s">
        <v>84</v>
      </c>
      <c r="K40" s="9" t="s">
        <v>42</v>
      </c>
    </row>
  </sheetData>
  <autoFilter ref="A1:K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64"/>
    <col collapsed="false" customWidth="true" hidden="false" outlineLevel="0" max="4" min="4" style="0" width="48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6" t="s">
        <v>235</v>
      </c>
      <c r="B1" s="6" t="s">
        <v>236</v>
      </c>
      <c r="C1" s="6" t="s">
        <v>237</v>
      </c>
      <c r="D1" s="6" t="s">
        <v>238</v>
      </c>
      <c r="E1" s="6" t="s">
        <v>30</v>
      </c>
    </row>
    <row r="2" customFormat="false" ht="23.85" hidden="false" customHeight="false" outlineLevel="0" collapsed="false">
      <c r="A2" s="7" t="s">
        <v>37</v>
      </c>
      <c r="B2" s="7" t="s">
        <v>239</v>
      </c>
      <c r="C2" s="7" t="s">
        <v>240</v>
      </c>
      <c r="D2" s="7" t="s">
        <v>241</v>
      </c>
      <c r="E2" s="7" t="s">
        <v>41</v>
      </c>
    </row>
    <row r="3" customFormat="false" ht="23.85" hidden="false" customHeight="false" outlineLevel="0" collapsed="false">
      <c r="A3" s="7" t="s">
        <v>54</v>
      </c>
      <c r="B3" s="7" t="s">
        <v>242</v>
      </c>
      <c r="C3" s="7" t="s">
        <v>243</v>
      </c>
      <c r="D3" s="7" t="s">
        <v>244</v>
      </c>
      <c r="E3" s="7" t="s">
        <v>41</v>
      </c>
    </row>
    <row r="4" customFormat="false" ht="23.85" hidden="false" customHeight="false" outlineLevel="0" collapsed="false">
      <c r="A4" s="7" t="s">
        <v>55</v>
      </c>
      <c r="B4" s="7" t="s">
        <v>245</v>
      </c>
      <c r="C4" s="7" t="s">
        <v>246</v>
      </c>
      <c r="D4" s="7" t="s">
        <v>247</v>
      </c>
      <c r="E4" s="7" t="s">
        <v>248</v>
      </c>
    </row>
    <row r="5" customFormat="false" ht="23.85" hidden="false" customHeight="false" outlineLevel="0" collapsed="false">
      <c r="A5" s="7" t="s">
        <v>48</v>
      </c>
      <c r="B5" s="7" t="s">
        <v>249</v>
      </c>
      <c r="C5" s="7" t="s">
        <v>250</v>
      </c>
      <c r="D5" s="7" t="s">
        <v>251</v>
      </c>
      <c r="E5" s="7" t="s">
        <v>84</v>
      </c>
    </row>
    <row r="6" customFormat="false" ht="23.85" hidden="false" customHeight="false" outlineLevel="0" collapsed="false">
      <c r="A6" s="7" t="s">
        <v>83</v>
      </c>
      <c r="B6" s="7" t="s">
        <v>252</v>
      </c>
      <c r="C6" s="7" t="s">
        <v>253</v>
      </c>
      <c r="D6" s="7" t="s">
        <v>254</v>
      </c>
      <c r="E6" s="7" t="s">
        <v>84</v>
      </c>
    </row>
    <row r="7" customFormat="false" ht="23.85" hidden="false" customHeight="false" outlineLevel="0" collapsed="false">
      <c r="A7" s="7" t="s">
        <v>196</v>
      </c>
      <c r="B7" s="7" t="s">
        <v>255</v>
      </c>
      <c r="C7" s="7" t="s">
        <v>256</v>
      </c>
      <c r="D7" s="7" t="s">
        <v>257</v>
      </c>
      <c r="E7" s="7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52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6" t="s">
        <v>258</v>
      </c>
      <c r="B1" s="6" t="s">
        <v>259</v>
      </c>
      <c r="C1" s="6" t="s">
        <v>260</v>
      </c>
      <c r="D1" s="6" t="s">
        <v>261</v>
      </c>
    </row>
    <row r="2" customFormat="false" ht="23.85" hidden="false" customHeight="false" outlineLevel="0" collapsed="false">
      <c r="A2" s="7" t="s">
        <v>117</v>
      </c>
      <c r="B2" s="7" t="s">
        <v>262</v>
      </c>
      <c r="C2" s="7" t="s">
        <v>263</v>
      </c>
      <c r="D2" s="7" t="s">
        <v>264</v>
      </c>
    </row>
    <row r="3" customFormat="false" ht="23.85" hidden="false" customHeight="false" outlineLevel="0" collapsed="false">
      <c r="A3" s="7" t="s">
        <v>56</v>
      </c>
      <c r="B3" s="7" t="s">
        <v>265</v>
      </c>
      <c r="C3" s="7" t="s">
        <v>266</v>
      </c>
      <c r="D3" s="7" t="s">
        <v>267</v>
      </c>
    </row>
    <row r="4" customFormat="false" ht="15" hidden="false" customHeight="false" outlineLevel="0" collapsed="false">
      <c r="A4" s="7" t="s">
        <v>76</v>
      </c>
      <c r="B4" s="7" t="s">
        <v>268</v>
      </c>
      <c r="C4" s="7" t="s">
        <v>269</v>
      </c>
      <c r="D4" s="7" t="s">
        <v>270</v>
      </c>
    </row>
    <row r="5" customFormat="false" ht="23.85" hidden="false" customHeight="false" outlineLevel="0" collapsed="false">
      <c r="A5" s="7" t="s">
        <v>96</v>
      </c>
      <c r="B5" s="7" t="s">
        <v>271</v>
      </c>
      <c r="C5" s="7" t="s">
        <v>272</v>
      </c>
      <c r="D5" s="7" t="s">
        <v>273</v>
      </c>
    </row>
    <row r="6" customFormat="false" ht="15" hidden="false" customHeight="false" outlineLevel="0" collapsed="false">
      <c r="A6" s="7" t="s">
        <v>197</v>
      </c>
      <c r="B6" s="7" t="s">
        <v>274</v>
      </c>
      <c r="C6" s="7" t="s">
        <v>275</v>
      </c>
      <c r="D6" s="7" t="s">
        <v>276</v>
      </c>
    </row>
    <row r="7" customFormat="false" ht="15" hidden="false" customHeight="false" outlineLevel="0" collapsed="false">
      <c r="A7" s="7" t="s">
        <v>216</v>
      </c>
      <c r="B7" s="7" t="s">
        <v>277</v>
      </c>
      <c r="C7" s="7" t="s">
        <v>278</v>
      </c>
      <c r="D7" s="7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56"/>
    <col collapsed="false" customWidth="true" hidden="false" outlineLevel="0" max="4" min="4" style="0" width="36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6" t="s">
        <v>280</v>
      </c>
      <c r="B1" s="6" t="s">
        <v>281</v>
      </c>
      <c r="C1" s="6" t="s">
        <v>282</v>
      </c>
      <c r="D1" s="6" t="s">
        <v>24</v>
      </c>
      <c r="E1" s="6" t="s">
        <v>31</v>
      </c>
    </row>
    <row r="2" customFormat="false" ht="15" hidden="false" customHeight="false" outlineLevel="0" collapsed="false">
      <c r="A2" s="7" t="s">
        <v>283</v>
      </c>
      <c r="B2" s="7" t="s">
        <v>284</v>
      </c>
      <c r="C2" s="7" t="s">
        <v>285</v>
      </c>
      <c r="D2" s="7" t="s">
        <v>286</v>
      </c>
      <c r="E2" s="9" t="s">
        <v>42</v>
      </c>
    </row>
    <row r="3" customFormat="false" ht="15" hidden="false" customHeight="false" outlineLevel="0" collapsed="false">
      <c r="A3" s="7" t="s">
        <v>287</v>
      </c>
      <c r="B3" s="7" t="s">
        <v>288</v>
      </c>
      <c r="C3" s="7" t="s">
        <v>289</v>
      </c>
      <c r="D3" s="7" t="s">
        <v>286</v>
      </c>
      <c r="E3" s="9" t="s">
        <v>42</v>
      </c>
    </row>
    <row r="4" customFormat="false" ht="15" hidden="false" customHeight="false" outlineLevel="0" collapsed="false">
      <c r="A4" s="7" t="s">
        <v>290</v>
      </c>
      <c r="B4" s="7" t="s">
        <v>291</v>
      </c>
      <c r="C4" s="7" t="s">
        <v>292</v>
      </c>
      <c r="D4" s="7" t="s">
        <v>293</v>
      </c>
      <c r="E4" s="9" t="s">
        <v>42</v>
      </c>
    </row>
    <row r="5" customFormat="false" ht="15" hidden="false" customHeight="false" outlineLevel="0" collapsed="false">
      <c r="A5" s="7" t="s">
        <v>294</v>
      </c>
      <c r="B5" s="7" t="s">
        <v>295</v>
      </c>
      <c r="C5" s="7" t="s">
        <v>296</v>
      </c>
      <c r="D5" s="7" t="s">
        <v>297</v>
      </c>
      <c r="E5" s="9" t="s">
        <v>42</v>
      </c>
    </row>
    <row r="6" customFormat="false" ht="15" hidden="false" customHeight="false" outlineLevel="0" collapsed="false">
      <c r="A6" s="7" t="s">
        <v>298</v>
      </c>
      <c r="B6" s="7" t="s">
        <v>299</v>
      </c>
      <c r="C6" s="7" t="s">
        <v>300</v>
      </c>
      <c r="D6" s="7" t="s">
        <v>301</v>
      </c>
      <c r="E6" s="9" t="s">
        <v>42</v>
      </c>
    </row>
    <row r="7" customFormat="false" ht="15" hidden="false" customHeight="false" outlineLevel="0" collapsed="false">
      <c r="A7" s="7" t="s">
        <v>302</v>
      </c>
      <c r="B7" s="7" t="s">
        <v>303</v>
      </c>
      <c r="C7" s="7" t="s">
        <v>304</v>
      </c>
      <c r="D7" s="7" t="s">
        <v>48</v>
      </c>
      <c r="E7" s="9" t="s">
        <v>42</v>
      </c>
    </row>
    <row r="8" customFormat="false" ht="15" hidden="false" customHeight="false" outlineLevel="0" collapsed="false">
      <c r="A8" s="7" t="s">
        <v>305</v>
      </c>
      <c r="B8" s="7" t="s">
        <v>306</v>
      </c>
      <c r="C8" s="7" t="s">
        <v>307</v>
      </c>
      <c r="D8" s="7" t="s">
        <v>308</v>
      </c>
      <c r="E8" s="9" t="s">
        <v>42</v>
      </c>
    </row>
    <row r="9" customFormat="false" ht="23.85" hidden="false" customHeight="false" outlineLevel="0" collapsed="false">
      <c r="A9" s="7" t="s">
        <v>309</v>
      </c>
      <c r="B9" s="7" t="s">
        <v>310</v>
      </c>
      <c r="C9" s="7" t="s">
        <v>311</v>
      </c>
      <c r="D9" s="7" t="s">
        <v>312</v>
      </c>
      <c r="E9" s="9" t="s">
        <v>42</v>
      </c>
    </row>
    <row r="10" customFormat="false" ht="23.85" hidden="false" customHeight="false" outlineLevel="0" collapsed="false">
      <c r="A10" s="7" t="s">
        <v>313</v>
      </c>
      <c r="B10" s="7" t="s">
        <v>314</v>
      </c>
      <c r="C10" s="7" t="s">
        <v>315</v>
      </c>
      <c r="D10" s="7" t="s">
        <v>144</v>
      </c>
      <c r="E10" s="9" t="s">
        <v>42</v>
      </c>
    </row>
    <row r="11" customFormat="false" ht="15" hidden="false" customHeight="false" outlineLevel="0" collapsed="false">
      <c r="A11" s="7" t="s">
        <v>316</v>
      </c>
      <c r="B11" s="7" t="s">
        <v>317</v>
      </c>
      <c r="C11" s="7" t="s">
        <v>318</v>
      </c>
      <c r="D11" s="7" t="s">
        <v>319</v>
      </c>
      <c r="E11" s="9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56"/>
  </cols>
  <sheetData>
    <row r="1" customFormat="false" ht="15" hidden="false" customHeight="false" outlineLevel="0" collapsed="false">
      <c r="A1" s="6" t="s">
        <v>320</v>
      </c>
      <c r="B1" s="6" t="s">
        <v>321</v>
      </c>
      <c r="C1" s="6" t="s">
        <v>322</v>
      </c>
    </row>
    <row r="2" customFormat="false" ht="15" hidden="false" customHeight="false" outlineLevel="0" collapsed="false">
      <c r="A2" s="7" t="s">
        <v>323</v>
      </c>
      <c r="B2" s="7" t="s">
        <v>324</v>
      </c>
      <c r="C2" s="7" t="s">
        <v>325</v>
      </c>
    </row>
    <row r="3" customFormat="false" ht="15" hidden="false" customHeight="false" outlineLevel="0" collapsed="false">
      <c r="A3" s="7" t="s">
        <v>326</v>
      </c>
      <c r="B3" s="7" t="s">
        <v>324</v>
      </c>
      <c r="C3" s="7" t="s">
        <v>327</v>
      </c>
    </row>
    <row r="4" customFormat="false" ht="15" hidden="false" customHeight="false" outlineLevel="0" collapsed="false">
      <c r="A4" s="7" t="s">
        <v>328</v>
      </c>
      <c r="B4" s="7" t="s">
        <v>324</v>
      </c>
      <c r="C4" s="7" t="s">
        <v>329</v>
      </c>
    </row>
    <row r="5" customFormat="false" ht="15" hidden="false" customHeight="false" outlineLevel="0" collapsed="false">
      <c r="A5" s="7" t="s">
        <v>330</v>
      </c>
      <c r="B5" s="7" t="s">
        <v>324</v>
      </c>
      <c r="C5" s="7" t="s">
        <v>331</v>
      </c>
    </row>
    <row r="6" customFormat="false" ht="15" hidden="false" customHeight="false" outlineLevel="0" collapsed="false">
      <c r="A6" s="7" t="s">
        <v>332</v>
      </c>
      <c r="B6" s="7" t="s">
        <v>324</v>
      </c>
      <c r="C6" s="7" t="s">
        <v>333</v>
      </c>
    </row>
    <row r="7" customFormat="false" ht="15" hidden="false" customHeight="false" outlineLevel="0" collapsed="false">
      <c r="A7" s="7" t="s">
        <v>334</v>
      </c>
      <c r="B7" s="7" t="s">
        <v>335</v>
      </c>
      <c r="C7" s="7" t="s">
        <v>336</v>
      </c>
    </row>
    <row r="8" customFormat="false" ht="15" hidden="false" customHeight="false" outlineLevel="0" collapsed="false">
      <c r="A8" s="7" t="s">
        <v>337</v>
      </c>
      <c r="B8" s="7" t="s">
        <v>324</v>
      </c>
      <c r="C8" s="7" t="s">
        <v>338</v>
      </c>
    </row>
    <row r="9" customFormat="false" ht="15" hidden="false" customHeight="false" outlineLevel="0" collapsed="false">
      <c r="A9" s="7" t="s">
        <v>339</v>
      </c>
      <c r="B9" s="7" t="s">
        <v>324</v>
      </c>
      <c r="C9" s="7" t="s">
        <v>340</v>
      </c>
    </row>
    <row r="10" customFormat="false" ht="15" hidden="false" customHeight="false" outlineLevel="0" collapsed="false">
      <c r="A10" s="7" t="s">
        <v>341</v>
      </c>
      <c r="B10" s="7" t="s">
        <v>335</v>
      </c>
      <c r="C10" s="7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6" t="s">
        <v>29</v>
      </c>
      <c r="B1" s="6" t="s">
        <v>322</v>
      </c>
      <c r="C1" s="6" t="s">
        <v>343</v>
      </c>
    </row>
    <row r="2" customFormat="false" ht="23.85" hidden="false" customHeight="false" outlineLevel="0" collapsed="false">
      <c r="A2" s="8" t="s">
        <v>40</v>
      </c>
      <c r="B2" s="7" t="s">
        <v>344</v>
      </c>
      <c r="C2" s="7" t="s">
        <v>345</v>
      </c>
    </row>
    <row r="3" customFormat="false" ht="15" hidden="false" customHeight="false" outlineLevel="0" collapsed="false">
      <c r="A3" s="10" t="s">
        <v>57</v>
      </c>
      <c r="B3" s="7" t="s">
        <v>346</v>
      </c>
      <c r="C3" s="7" t="s">
        <v>347</v>
      </c>
    </row>
    <row r="4" customFormat="false" ht="15" hidden="false" customHeight="false" outlineLevel="0" collapsed="false">
      <c r="A4" s="9" t="s">
        <v>77</v>
      </c>
      <c r="B4" s="7" t="s">
        <v>348</v>
      </c>
      <c r="C4" s="7" t="s">
        <v>349</v>
      </c>
    </row>
    <row r="5" customFormat="false" ht="15" hidden="false" customHeight="false" outlineLevel="0" collapsed="false">
      <c r="A5" s="11" t="s">
        <v>97</v>
      </c>
      <c r="B5" s="7" t="s">
        <v>350</v>
      </c>
      <c r="C5" s="7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6" t="s">
        <v>351</v>
      </c>
      <c r="B1" s="6" t="s">
        <v>352</v>
      </c>
    </row>
    <row r="2" customFormat="false" ht="15" hidden="false" customHeight="false" outlineLevel="0" collapsed="false">
      <c r="A2" s="7" t="s">
        <v>45</v>
      </c>
      <c r="B2" s="7" t="n">
        <f aca="false">COUNTIF(Quality_Rules!C:C,A2)</f>
        <v>2</v>
      </c>
    </row>
    <row r="3" customFormat="false" ht="15" hidden="false" customHeight="false" outlineLevel="0" collapsed="false">
      <c r="A3" s="7" t="s">
        <v>34</v>
      </c>
      <c r="B3" s="7" t="n">
        <f aca="false">COUNTIF(Quality_Rules!C:C,A3)</f>
        <v>2</v>
      </c>
    </row>
    <row r="4" customFormat="false" ht="15" hidden="false" customHeight="false" outlineLevel="0" collapsed="false">
      <c r="A4" s="7" t="s">
        <v>60</v>
      </c>
      <c r="B4" s="7" t="n">
        <f aca="false">COUNTIF(Quality_Rules!C:C,A4)</f>
        <v>1</v>
      </c>
    </row>
    <row r="5" customFormat="false" ht="15" hidden="false" customHeight="false" outlineLevel="0" collapsed="false">
      <c r="A5" s="7" t="s">
        <v>65</v>
      </c>
      <c r="B5" s="7" t="n">
        <f aca="false">COUNTIF(Quality_Rules!C:C,A5)</f>
        <v>3</v>
      </c>
    </row>
    <row r="6" customFormat="false" ht="15" hidden="false" customHeight="false" outlineLevel="0" collapsed="false">
      <c r="A6" s="7" t="s">
        <v>87</v>
      </c>
      <c r="B6" s="7" t="n">
        <f aca="false">COUNTIF(Quality_Rules!C:C,A6)</f>
        <v>2</v>
      </c>
    </row>
    <row r="7" customFormat="false" ht="15" hidden="false" customHeight="false" outlineLevel="0" collapsed="false">
      <c r="A7" s="7" t="s">
        <v>93</v>
      </c>
      <c r="B7" s="7" t="n">
        <f aca="false">COUNTIF(Quality_Rules!C:C,A7)</f>
        <v>1</v>
      </c>
    </row>
    <row r="8" customFormat="false" ht="15" hidden="false" customHeight="false" outlineLevel="0" collapsed="false">
      <c r="A8" s="7" t="s">
        <v>100</v>
      </c>
      <c r="B8" s="7" t="n">
        <f aca="false">COUNTIF(Quality_Rules!C:C,A8)</f>
        <v>1</v>
      </c>
    </row>
    <row r="9" customFormat="false" ht="15" hidden="false" customHeight="false" outlineLevel="0" collapsed="false">
      <c r="A9" s="7" t="s">
        <v>105</v>
      </c>
      <c r="B9" s="7" t="n">
        <f aca="false">COUNTIF(Quality_Rules!C:C,A9)</f>
        <v>1</v>
      </c>
    </row>
    <row r="10" customFormat="false" ht="15" hidden="false" customHeight="false" outlineLevel="0" collapsed="false">
      <c r="A10" s="7" t="s">
        <v>110</v>
      </c>
      <c r="B10" s="7" t="n">
        <f aca="false">COUNTIF(Quality_Rules!C:C,A10)</f>
        <v>1</v>
      </c>
    </row>
    <row r="11" customFormat="false" ht="15" hidden="false" customHeight="false" outlineLevel="0" collapsed="false">
      <c r="A11" s="7" t="s">
        <v>120</v>
      </c>
      <c r="B11" s="7" t="n">
        <f aca="false">COUNTIF(Quality_Rules!C:C,A11)</f>
        <v>2</v>
      </c>
    </row>
    <row r="12" customFormat="false" ht="15" hidden="false" customHeight="false" outlineLevel="0" collapsed="false">
      <c r="A12" s="7" t="s">
        <v>126</v>
      </c>
      <c r="B12" s="7" t="n">
        <f aca="false">COUNTIF(Quality_Rules!C:C,A12)</f>
        <v>3</v>
      </c>
    </row>
    <row r="13" customFormat="false" ht="15" hidden="false" customHeight="false" outlineLevel="0" collapsed="false">
      <c r="A13" s="7" t="s">
        <v>143</v>
      </c>
      <c r="B13" s="7" t="n">
        <f aca="false">COUNTIF(Quality_Rules!C:C,A13)</f>
        <v>1</v>
      </c>
    </row>
    <row r="14" customFormat="false" ht="15" hidden="false" customHeight="false" outlineLevel="0" collapsed="false">
      <c r="A14" s="7" t="s">
        <v>149</v>
      </c>
      <c r="B14" s="7" t="n">
        <f aca="false">COUNTIF(Quality_Rules!C:C,A14)</f>
        <v>3</v>
      </c>
    </row>
    <row r="15" customFormat="false" ht="15" hidden="false" customHeight="false" outlineLevel="0" collapsed="false">
      <c r="A15" s="7" t="s">
        <v>80</v>
      </c>
      <c r="B15" s="7" t="n">
        <f aca="false">COUNTIF(Quality_Rules!C:C,A15)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2026-10-13T06:04:35Z</dcterms:created>
  <dc:creator>openpyxl</dc:creator>
  <dc:description/>
  <dc:language>en-US</dc:language>
  <cp:lastModifiedBy/>
  <dcterms:modified xsi:type="dcterms:W3CDTF">2026-10-13T06:04:35Z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