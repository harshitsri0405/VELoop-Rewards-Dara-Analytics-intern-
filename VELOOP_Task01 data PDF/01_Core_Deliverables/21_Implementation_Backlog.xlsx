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cklog" sheetId="2" state="visible" r:id="rId4"/>
    <sheet name="Summary_Priority_Stage" sheetId="3" state="visible" r:id="rId5"/>
    <sheet name="Summary_Wave" sheetId="4" state="visible" r:id="rId6"/>
    <sheet name="Summary_Type" sheetId="5" state="visible" r:id="rId7"/>
  </sheets>
  <definedNames>
    <definedName function="false" hidden="true" localSheetId="1" name="_xlnm._FilterDatabase" vbProcedure="false">Backlog!$A$1:$O$44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<sst xmlns="http://schemas.openxmlformats.org/spreadsheetml/2006/main" count="656" uniqueCount="328">
  <si>
    <t xml:space="preserve">VELOOP REWARDS - Task 01 | Final Implementation Backlog</t>
  </si>
  <si>
    <t xml:space="preserve">The backlog is Proposed: it has not been agreed with Engineering or Product. Priorities and order may change once VELOOP confirms the facts in the Assumption Register. No simulated or real VELOOP statistics are included.</t>
  </si>
  <si>
    <t xml:space="preserve">- Priority comes from the readiness gaps and assumption risks. Every priority has a reason, as the brief requires.</t>
  </si>
  <si>
    <t xml:space="preserve">- Wave shows build order: wave 1 has no dependencies, wave 2 depends only on wave 1, and so on.</t>
  </si>
  <si>
    <t xml:space="preserve">- Stage follows the brief: Pre-launch means needed before production reporting is relied on; Post-launch means it can follow.</t>
  </si>
  <si>
    <t xml:space="preserve">- Milestones M1 to M7 are those in the Pipeline Proposal; J and K are the dataset-dependent work packages.</t>
  </si>
  <si>
    <t xml:space="preserve">- Items of type Decision or Confirmation need an answer, not engineering effort, and are the quickest to close.</t>
  </si>
  <si>
    <t xml:space="preserve">- Critical Path = Yes marks a High or lower item that gates a Critical item, so it should not slip even though its own priority is lower.</t>
  </si>
  <si>
    <t xml:space="preserve">Open questions:</t>
  </si>
  <si>
    <t xml:space="preserve">- Does Engineering agree the order and dependencies?</t>
  </si>
  <si>
    <t xml:space="preserve">- Who will own backlog tracking day to day?</t>
  </si>
  <si>
    <t xml:space="preserve">- Which Product decisions can be taken in the first conversation?</t>
  </si>
  <si>
    <t xml:space="preserve">- Will the remaining datasets be provided so profiling, the audit and the KPI test can be re-run?</t>
  </si>
  <si>
    <t xml:space="preserve">Live counts</t>
  </si>
  <si>
    <t xml:space="preserve">Backlog items</t>
  </si>
  <si>
    <t xml:space="preserve">Critical</t>
  </si>
  <si>
    <t xml:space="preserve">Pre-launch</t>
  </si>
  <si>
    <t xml:space="preserve">Post-launch</t>
  </si>
  <si>
    <t xml:space="preserve">Wave 1 (no dependencies)</t>
  </si>
  <si>
    <t xml:space="preserve">ID</t>
  </si>
  <si>
    <t xml:space="preserve">Priority</t>
  </si>
  <si>
    <t xml:space="preserve">Requirement</t>
  </si>
  <si>
    <t xml:space="preserve">Reason</t>
  </si>
  <si>
    <t xml:space="preserve">Dependency</t>
  </si>
  <si>
    <t xml:space="preserve">Owner</t>
  </si>
  <si>
    <t xml:space="preserve">Stage</t>
  </si>
  <si>
    <t xml:space="preserve">Type</t>
  </si>
  <si>
    <t xml:space="preserve">Wave</t>
  </si>
  <si>
    <t xml:space="preserve">Milestone</t>
  </si>
  <si>
    <t xml:space="preserve">Sources</t>
  </si>
  <si>
    <t xml:space="preserve">Closing Evidence</t>
  </si>
  <si>
    <t xml:space="preserve">Linked Documents</t>
  </si>
  <si>
    <t xml:space="preserve">Status</t>
  </si>
  <si>
    <t xml:space="preserve">Critical Path</t>
  </si>
  <si>
    <t xml:space="preserve">BL-01</t>
  </si>
  <si>
    <t xml:space="preserve">Confirm which of the 42 proposed events already exist, who emits each, and whether each comes from the frontend or backend</t>
  </si>
  <si>
    <t xml:space="preserve">Critical - Without registered, task, reward, wallet and withdrawal events, none of the core KPIs can be computed from production data</t>
  </si>
  <si>
    <t xml:space="preserve">None</t>
  </si>
  <si>
    <t xml:space="preserve">Engineering</t>
  </si>
  <si>
    <t xml:space="preserve">Confirmation</t>
  </si>
  <si>
    <t xml:space="preserve">M1</t>
  </si>
  <si>
    <t xml:space="preserve">RG-01, RG-02, A001, A021</t>
  </si>
  <si>
    <t xml:space="preserve">Engineering lists emitted events, with a sample record and the emitter for each</t>
  </si>
  <si>
    <t xml:space="preserve">Event Tracking Plan; Developer Handoff</t>
  </si>
  <si>
    <t xml:space="preserve">Proposed (not yet agreed with Engineering or Product)</t>
  </si>
  <si>
    <t xml:space="preserve">Critical item</t>
  </si>
  <si>
    <t xml:space="preserve">BL-02</t>
  </si>
  <si>
    <t xml:space="preserve">Guarantee a stable, immutable user_id and a unique transaction_id on every wallet entry</t>
  </si>
  <si>
    <t xml:space="preserve">Critical - Without a stable transaction ID, reliable wallet transaction deduplication cannot be guaranteed; without a stable user_id, cross-event analysis breaks</t>
  </si>
  <si>
    <t xml:space="preserve">Engineering build</t>
  </si>
  <si>
    <t xml:space="preserve">RG-04, AP-01, AP-02, A003, A005</t>
  </si>
  <si>
    <t xml:space="preserve">Same user keeps one user_id across devices; no two wallet entries share a transaction_id</t>
  </si>
  <si>
    <t xml:space="preserve">Logical Data Model; Developer Handoff</t>
  </si>
  <si>
    <t xml:space="preserve">BL-03</t>
  </si>
  <si>
    <t xml:space="preserve">Confirm the wallet ledger design: append-only or edited in place, when withdrawal amounts are held, fees and limits, cancellation, and redemption and exchange records</t>
  </si>
  <si>
    <t xml:space="preserve">Critical - If balances are edited in place, balance reconciliation and reversals cannot be trusted</t>
  </si>
  <si>
    <t xml:space="preserve">Engineering / Product</t>
  </si>
  <si>
    <t xml:space="preserve">A026, A027, A028, A029, A030</t>
  </si>
  <si>
    <t xml:space="preserve">Written answers recorded in the assumption register</t>
  </si>
  <si>
    <t xml:space="preserve">Wallet and Withdrawal Specification; Logical Data Model</t>
  </si>
  <si>
    <t xml:space="preserve">BL-04</t>
  </si>
  <si>
    <t xml:space="preserve">Agree and test an idempotency design for event and wallet writes</t>
  </si>
  <si>
    <t xml:space="preserve">Critical - Retries could create duplicate events and duplicate wallet credits</t>
  </si>
  <si>
    <t xml:space="preserve">RG-19, AG-03, AG-04, A023</t>
  </si>
  <si>
    <t xml:space="preserve">A repeated request produces one event and one wallet entry</t>
  </si>
  <si>
    <t xml:space="preserve">Developer Handoff</t>
  </si>
  <si>
    <t xml:space="preserve">BL-05</t>
  </si>
  <si>
    <t xml:space="preserve">Implement the common payload and general engineering requirements (AG-01 to AG-12)</t>
  </si>
  <si>
    <t xml:space="preserve">Critical - Without a common payload, events cannot be deduplicated, ordered or traced to a user</t>
  </si>
  <si>
    <t xml:space="preserve">BL-16, BL-04, BL-10</t>
  </si>
  <si>
    <t xml:space="preserve">M2</t>
  </si>
  <si>
    <t xml:space="preserve">AG-01 to AG-12</t>
  </si>
  <si>
    <t xml:space="preserve">Sampled events pass every general acceptance test</t>
  </si>
  <si>
    <t xml:space="preserve">Developer Handoff; Event Tracking Plan</t>
  </si>
  <si>
    <t xml:space="preserve">BL-06</t>
  </si>
  <si>
    <t xml:space="preserve">Instrument the 9 Critical events to the developer handoff specification (AE-001 to AE-009)</t>
  </si>
  <si>
    <t xml:space="preserve">Critical - Core KPIs for registrations, tasks, rewards, wallet and withdrawals depend on them</t>
  </si>
  <si>
    <t xml:space="preserve">BL-02, BL-04, BL-05, BL-15, BL-21, BL-03</t>
  </si>
  <si>
    <t xml:space="preserve">AE-001 to AE-009</t>
  </si>
  <si>
    <t xml:space="preserve">Each event passes its positive and negative acceptance test</t>
  </si>
  <si>
    <t xml:space="preserve">BL-07</t>
  </si>
  <si>
    <t xml:space="preserve">High</t>
  </si>
  <si>
    <t xml:space="preserve">Decide which events make a user 'active' and the activity window</t>
  </si>
  <si>
    <t xml:space="preserve">High - DAU, WAU, MAU, returning and inactive users all depend on it</t>
  </si>
  <si>
    <t xml:space="preserve">Product</t>
  </si>
  <si>
    <t xml:space="preserve">Decision</t>
  </si>
  <si>
    <t xml:space="preserve">RG-09, A024</t>
  </si>
  <si>
    <t xml:space="preserve">Decision recorded in the change log</t>
  </si>
  <si>
    <t xml:space="preserve">KPI Catalogue; Referral and Engagement</t>
  </si>
  <si>
    <t xml:space="preserve">No</t>
  </si>
  <si>
    <t xml:space="preserve">BL-08</t>
  </si>
  <si>
    <t xml:space="preserve">Agree one activation definition for users and referrals, stored with a rule version</t>
  </si>
  <si>
    <t xml:space="preserve">High - Referral activation and conversion would be reported on an unstable rule</t>
  </si>
  <si>
    <t xml:space="preserve">RG-10, AP-07, A010</t>
  </si>
  <si>
    <t xml:space="preserve">One rule agreed, with a version number</t>
  </si>
  <si>
    <t xml:space="preserve">Referral and Engagement; KPI Catalogue</t>
  </si>
  <si>
    <t xml:space="preserve">BL-09</t>
  </si>
  <si>
    <t xml:space="preserve">Define reward units and any conversion between them</t>
  </si>
  <si>
    <t xml:space="preserve">High - Amounts in different units cannot be added or compared</t>
  </si>
  <si>
    <t xml:space="preserve">Product / Finance</t>
  </si>
  <si>
    <t xml:space="preserve">RG-12, AP-04, A002</t>
  </si>
  <si>
    <t xml:space="preserve">Unit list and conversion rule confirmed</t>
  </si>
  <si>
    <t xml:space="preserve">Earning and Reward; Wallet and Withdrawal</t>
  </si>
  <si>
    <t xml:space="preserve">Yes</t>
  </si>
  <si>
    <t xml:space="preserve">BL-10</t>
  </si>
  <si>
    <t xml:space="preserve">Standardise UTC timestamps and agree the timezone and week and month boundaries</t>
  </si>
  <si>
    <t xml:space="preserve">High - A wrong day or a missing timezone changes daily metrics and streaks</t>
  </si>
  <si>
    <t xml:space="preserve">RG-11, RG-22, AP-10, A012</t>
  </si>
  <si>
    <t xml:space="preserve">Sample records show UTC ISO 8601; boundaries written into the KPI Catalogue</t>
  </si>
  <si>
    <t xml:space="preserve">KPI Catalogue; Developer Handoff</t>
  </si>
  <si>
    <t xml:space="preserve">BL-11</t>
  </si>
  <si>
    <t xml:space="preserve">Confirm which features are live and which are planned</t>
  </si>
  <si>
    <t xml:space="preserve">High - Events built for features that do not exist waste effort and leave dashboards empty</t>
  </si>
  <si>
    <t xml:space="preserve">G13, A008</t>
  </si>
  <si>
    <t xml:space="preserve">Feature list with live, planned or not planned</t>
  </si>
  <si>
    <t xml:space="preserve">Source and Verification Register; Coverage Matrix</t>
  </si>
  <si>
    <t xml:space="preserve">BL-12</t>
  </si>
  <si>
    <t xml:space="preserve">Obtain the remaining simulated datasets (task activity, rewards, wallet, withdrawals, referrals, feature events) and re-run the profiling, relationship tests, KPI test and quality audit</t>
  </si>
  <si>
    <t xml:space="preserve">High - Only the Users data has been tested; most KPIs and 21 of the 39 quality rules could not be tested without the other datasets</t>
  </si>
  <si>
    <t xml:space="preserve">Mentor / Product team; Data Analyst</t>
  </si>
  <si>
    <t xml:space="preserve">Analysis (needs datasets)</t>
  </si>
  <si>
    <t xml:space="preserve">J and K</t>
  </si>
  <si>
    <t xml:space="preserve">RG-13, A046</t>
  </si>
  <si>
    <t xml:space="preserve">All datasets profiled and the audit and KPI test re-run, with issue counts by rule ID</t>
  </si>
  <si>
    <t xml:space="preserve">Simulated Data Profiling; Data Quality Audit; KPI Catalogue</t>
  </si>
  <si>
    <t xml:space="preserve">BL-13</t>
  </si>
  <si>
    <t xml:space="preserve">Fix derived fields, counters and consent consistency: compute derived values in the analytics layer, check counters against each other, and enforce 'marketing opt-in requires accepted consent'</t>
  </si>
  <si>
    <t xml:space="preserve">High - Contradictory derived values, counters and consent would corrupt activity and consent metrics</t>
  </si>
  <si>
    <t xml:space="preserve">M3</t>
  </si>
  <si>
    <t xml:space="preserve">RG-31, A047, A049, A050, DQ040 to DQ042</t>
  </si>
  <si>
    <t xml:space="preserve">DQ040 to DQ042 pass on a new extract</t>
  </si>
  <si>
    <t xml:space="preserve">Data Quality Audit; Quality Framework</t>
  </si>
  <si>
    <t xml:space="preserve">BL-14</t>
  </si>
  <si>
    <t xml:space="preserve">Name data owners and stewards, and set up access grants and logging</t>
  </si>
  <si>
    <t xml:space="preserve">High - Restricted fields (6) need owners and grants before data flows</t>
  </si>
  <si>
    <t xml:space="preserve">Product / Engineering</t>
  </si>
  <si>
    <t xml:space="preserve">Governance</t>
  </si>
  <si>
    <t xml:space="preserve">RG-24, A037</t>
  </si>
  <si>
    <t xml:space="preserve">Named owners and an access log</t>
  </si>
  <si>
    <t xml:space="preserve">Privacy and Governance</t>
  </si>
  <si>
    <t xml:space="preserve">BL-15</t>
  </si>
  <si>
    <t xml:space="preserve">Confirm fields and the approved lists (statuses, units, methods, categories) in one reference table</t>
  </si>
  <si>
    <t xml:space="preserve">High - Allowed values are placeholders, so validation rules cannot be finalised</t>
  </si>
  <si>
    <t xml:space="preserve">BL-09, BL-01</t>
  </si>
  <si>
    <t xml:space="preserve">RG-07, A002, A006, A022</t>
  </si>
  <si>
    <t xml:space="preserve">Fields confirmed; lists stored in a shared reference table</t>
  </si>
  <si>
    <t xml:space="preserve">Data Dictionary; Quality Framework</t>
  </si>
  <si>
    <t xml:space="preserve">BL-16</t>
  </si>
  <si>
    <t xml:space="preserve">Choose the event collection route and the analytics data store</t>
  </si>
  <si>
    <t xml:space="preserve">High - Events have nowhere to land and the pipeline cannot start</t>
  </si>
  <si>
    <t xml:space="preserve">RG-20, AP-12, A011</t>
  </si>
  <si>
    <t xml:space="preserve">Route and store documented; a test event reaches the raw zone</t>
  </si>
  <si>
    <t xml:space="preserve">Pipeline Proposal</t>
  </si>
  <si>
    <t xml:space="preserve">BL-17</t>
  </si>
  <si>
    <t xml:space="preserve">Store each withdrawal state change with its own timestamp</t>
  </si>
  <si>
    <t xml:space="preserve">High - Without per-state times, only the latest status is visible and processing time cannot be measured</t>
  </si>
  <si>
    <t xml:space="preserve">RG-05, AP-06, A006, A007</t>
  </si>
  <si>
    <t xml:space="preserve">A sample withdrawal shows requested, processing and final timestamps</t>
  </si>
  <si>
    <t xml:space="preserve">Wallet and Withdrawal Specification</t>
  </si>
  <si>
    <t xml:space="preserve">BL-18</t>
  </si>
  <si>
    <t xml:space="preserve">Store the provider's reference id for every externally driven activity, and agree the wait times for 'abandoned' and 'tracking_failed'</t>
  </si>
  <si>
    <t xml:space="preserve">High - Third-party earning cannot be reconciled and completions may be understated</t>
  </si>
  <si>
    <t xml:space="preserve">RG-21, AP-09, A009, A042</t>
  </si>
  <si>
    <t xml:space="preserve">Provider-validated attempts carry a reference id; wait times recorded</t>
  </si>
  <si>
    <t xml:space="preserve">Earning and Reward; KPI Catalogue</t>
  </si>
  <si>
    <t xml:space="preserve">BL-19</t>
  </si>
  <si>
    <t xml:space="preserve">Confirm that operational tables can be read from a replica or export without affecting the live product</t>
  </si>
  <si>
    <t xml:space="preserve">High - The table extract flow depends on it</t>
  </si>
  <si>
    <t xml:space="preserve">A033, A011</t>
  </si>
  <si>
    <t xml:space="preserve">Test extract completes with no impact on the product</t>
  </si>
  <si>
    <t xml:space="preserve">BL-20</t>
  </si>
  <si>
    <t xml:space="preserve">Separate simulated and production data and block simulated loads into production</t>
  </si>
  <si>
    <t xml:space="preserve">High - Mixing simulated and production data would produce false results</t>
  </si>
  <si>
    <t xml:space="preserve">Data Analyst / Engineering</t>
  </si>
  <si>
    <t xml:space="preserve">RG-30, DQ039</t>
  </si>
  <si>
    <t xml:space="preserve">Simulated data sits in a labelled separate zone and cannot load into production tables</t>
  </si>
  <si>
    <t xml:space="preserve">Pipeline Proposal; Quality Framework</t>
  </si>
  <si>
    <t xml:space="preserve">BL-21</t>
  </si>
  <si>
    <t xml:space="preserve">Stand up the collection endpoint, the raw zone and the quarantine table</t>
  </si>
  <si>
    <t xml:space="preserve">High - Valid events must be stored untouched and bad events held, not lost</t>
  </si>
  <si>
    <t xml:space="preserve">BL-16, BL-05</t>
  </si>
  <si>
    <t xml:space="preserve">Pipeline Proposal; DQ001 to DQ006</t>
  </si>
  <si>
    <t xml:space="preserve">Valid events reach raw_events; a malformed event reaches quarantine with a rule ID</t>
  </si>
  <si>
    <t xml:space="preserve">BL-22</t>
  </si>
  <si>
    <t xml:space="preserve">Instrument the 16 High events (AE-010 to AE-025)</t>
  </si>
  <si>
    <t xml:space="preserve">High - Onboarding, failure, referral, pending reward and withdrawal lifecycle KPIs depend on them</t>
  </si>
  <si>
    <t xml:space="preserve">BL-06, BL-08, BL-17, BL-18, BL-11</t>
  </si>
  <si>
    <t xml:space="preserve">M6</t>
  </si>
  <si>
    <t xml:space="preserve">AE-010 to AE-025</t>
  </si>
  <si>
    <t xml:space="preserve">BL-23</t>
  </si>
  <si>
    <t xml:space="preserve">Build transformation, quality rules and quarantine handling for the Critical events</t>
  </si>
  <si>
    <t xml:space="preserve">High - Quality must be a pipeline stage so bad records never reach KPIs</t>
  </si>
  <si>
    <t xml:space="preserve">BL-06, BL-21, BL-15, BL-10</t>
  </si>
  <si>
    <t xml:space="preserve">Data Analyst</t>
  </si>
  <si>
    <t xml:space="preserve">DQ001 to DQ039</t>
  </si>
  <si>
    <t xml:space="preserve">Rules run on test data and failures land in quarantine</t>
  </si>
  <si>
    <t xml:space="preserve">Quality Framework; Pipeline Proposal</t>
  </si>
  <si>
    <t xml:space="preserve">BL-24</t>
  </si>
  <si>
    <t xml:space="preserve">Build the first dashboards: Executive Overview, Withdrawals and Wallet</t>
  </si>
  <si>
    <t xml:space="preserve">High - Management needs reporting, but dashboards need confirmed events and clean data first</t>
  </si>
  <si>
    <t xml:space="preserve">BL-06, BL-23, BL-34, BL-36, BL-07</t>
  </si>
  <si>
    <t xml:space="preserve">M4</t>
  </si>
  <si>
    <t xml:space="preserve">RG-16</t>
  </si>
  <si>
    <t xml:space="preserve">Dashboards show only governed data with 'data as of' and quality status</t>
  </si>
  <si>
    <t xml:space="preserve">Dashboard Blueprint</t>
  </si>
  <si>
    <t xml:space="preserve">BL-25</t>
  </si>
  <si>
    <t xml:space="preserve">Produce the first report from governed production data</t>
  </si>
  <si>
    <t xml:space="preserve">High - No figure can be relied on until the layers below exist</t>
  </si>
  <si>
    <t xml:space="preserve">Data Analyst / Product</t>
  </si>
  <si>
    <t xml:space="preserve">RG-29, A021</t>
  </si>
  <si>
    <t xml:space="preserve">A report reconciles to the raw zone and passes the quality rules</t>
  </si>
  <si>
    <t xml:space="preserve">Dashboard Blueprint; KPI Catalogue</t>
  </si>
  <si>
    <t xml:space="preserve">BL-26</t>
  </si>
  <si>
    <t xml:space="preserve">Medium</t>
  </si>
  <si>
    <t xml:space="preserve">Decide which user attributes are collected for analytics (age, gender, state, city, consent, email verification) and keep personal-looking fields out of the analytics layer</t>
  </si>
  <si>
    <t xml:space="preserve">Medium - Data minimisation: personal fields that no KPI needs add privacy risk without benefit</t>
  </si>
  <si>
    <t xml:space="preserve">Product / Legal</t>
  </si>
  <si>
    <t xml:space="preserve">A048, RG-24</t>
  </si>
  <si>
    <t xml:space="preserve">Attribute list agreed; personal fields excluded from the analytics layer</t>
  </si>
  <si>
    <t xml:space="preserve">Data Dictionary; Privacy and Governance</t>
  </si>
  <si>
    <t xml:space="preserve">BL-27</t>
  </si>
  <si>
    <t xml:space="preserve">Assign the quarantine triage owner and cadence</t>
  </si>
  <si>
    <t xml:space="preserve">Medium - Quarantined records stay unresolved and KPIs stay incomplete</t>
  </si>
  <si>
    <t xml:space="preserve">RG-15, A034</t>
  </si>
  <si>
    <t xml:space="preserve">Named owner and cadence recorded</t>
  </si>
  <si>
    <t xml:space="preserve">Quality Framework; Privacy and Governance</t>
  </si>
  <si>
    <t xml:space="preserve">BL-28</t>
  </si>
  <si>
    <t xml:space="preserve">Agree freshness, volume, clock-tolerance and late-arrival limits</t>
  </si>
  <si>
    <t xml:space="preserve">Medium - Monitoring rules need limits to alert on</t>
  </si>
  <si>
    <t xml:space="preserve">Engineering / Data Analyst</t>
  </si>
  <si>
    <t xml:space="preserve">M5</t>
  </si>
  <si>
    <t xml:space="preserve">RG-14, A035</t>
  </si>
  <si>
    <t xml:space="preserve">Limits written into the quality framework</t>
  </si>
  <si>
    <t xml:space="preserve">Quality Framework</t>
  </si>
  <si>
    <t xml:space="preserve">BL-29</t>
  </si>
  <si>
    <t xml:space="preserve">Get Legal guidance on retention, deletion and consent, and set a retention period per zone</t>
  </si>
  <si>
    <t xml:space="preserve">Medium - Raw data is append-only, so deletion requests need a designed process</t>
  </si>
  <si>
    <t xml:space="preserve">Legal / Product</t>
  </si>
  <si>
    <t xml:space="preserve">RG-25, A016, A036</t>
  </si>
  <si>
    <t xml:space="preserve">Written Legal guidance and a retention period per zone</t>
  </si>
  <si>
    <t xml:space="preserve">BL-30</t>
  </si>
  <si>
    <t xml:space="preserve">Review the document set with Product and Engineering and update statuses</t>
  </si>
  <si>
    <t xml:space="preserve">Medium - Statuses stay Proposed until the VELOOP team confirms them</t>
  </si>
  <si>
    <t xml:space="preserve">RG-27, A018</t>
  </si>
  <si>
    <t xml:space="preserve">Review notes and updated statuses</t>
  </si>
  <si>
    <t xml:space="preserve">All documents</t>
  </si>
  <si>
    <t xml:space="preserve">BL-31</t>
  </si>
  <si>
    <t xml:space="preserve">Confirm whether a pending reward state and task attempts are stored</t>
  </si>
  <si>
    <t xml:space="preserve">Medium - Pending Rewards and Task Completion Rate depend on them</t>
  </si>
  <si>
    <t xml:space="preserve">RG-23, G05, A020, A031</t>
  </si>
  <si>
    <t xml:space="preserve">Engineering confirms both</t>
  </si>
  <si>
    <t xml:space="preserve">Earning and Reward; Logical Data Model</t>
  </si>
  <si>
    <t xml:space="preserve">BL-32</t>
  </si>
  <si>
    <t xml:space="preserve">Confirm account statuses, onboarding steps and referral rules (one referrer per user, closing)</t>
  </si>
  <si>
    <t xml:space="preserve">Medium - Account and referral KPIs need real values</t>
  </si>
  <si>
    <t xml:space="preserve">A019, A025</t>
  </si>
  <si>
    <t xml:space="preserve">Lists and rules recorded in the dictionary</t>
  </si>
  <si>
    <t xml:space="preserve">User Analytics; Referral and Engagement</t>
  </si>
  <si>
    <t xml:space="preserve">BL-33</t>
  </si>
  <si>
    <t xml:space="preserve">Compare the logical data model with VELOOP's real tables</t>
  </si>
  <si>
    <t xml:space="preserve">Medium - The model follows the brief, not the product, so some entities may change</t>
  </si>
  <si>
    <t xml:space="preserve">Analysis</t>
  </si>
  <si>
    <t xml:space="preserve">RG-06, A011, A031</t>
  </si>
  <si>
    <t xml:space="preserve">Differences logged and the model updated</t>
  </si>
  <si>
    <t xml:space="preserve">Logical Data Model</t>
  </si>
  <si>
    <t xml:space="preserve">BL-34</t>
  </si>
  <si>
    <t xml:space="preserve">Choose the BI option</t>
  </si>
  <si>
    <t xml:space="preserve">Medium - Aggregated-only access and refresh depend on the tool</t>
  </si>
  <si>
    <t xml:space="preserve">Product / Data Analyst</t>
  </si>
  <si>
    <t xml:space="preserve">RG-17, A032</t>
  </si>
  <si>
    <t xml:space="preserve">Tool chosen against the dashboard blueprint and access model</t>
  </si>
  <si>
    <t xml:space="preserve">Dashboard Blueprint; Privacy and Governance</t>
  </si>
  <si>
    <t xml:space="preserve">BL-35</t>
  </si>
  <si>
    <t xml:space="preserve">Confirm how registration source is captured, whether session ids are adopted, and whether a support system records issue categories</t>
  </si>
  <si>
    <t xml:space="preserve">Medium - Acquisition, session and support KPIs depend on them</t>
  </si>
  <si>
    <t xml:space="preserve">G08, G12, G15, A004, A014, A015</t>
  </si>
  <si>
    <t xml:space="preserve">Written confirmation of each</t>
  </si>
  <si>
    <t xml:space="preserve">User Analytics; KPI Catalogue</t>
  </si>
  <si>
    <t xml:space="preserve">BL-36</t>
  </si>
  <si>
    <t xml:space="preserve">Confirm or label each To Be Verified KPI on dashboards</t>
  </si>
  <si>
    <t xml:space="preserve">Medium - Showing unverified KPIs without a label would overstate certainty</t>
  </si>
  <si>
    <t xml:space="preserve">BL-07, BL-08, BL-03, BL-31</t>
  </si>
  <si>
    <t xml:space="preserve">RG-18, A010, A013, A029, A030</t>
  </si>
  <si>
    <t xml:space="preserve">Each KPI confirmed or labelled</t>
  </si>
  <si>
    <t xml:space="preserve">KPI Catalogue; Dashboard Blueprint</t>
  </si>
  <si>
    <t xml:space="preserve">BL-37</t>
  </si>
  <si>
    <t xml:space="preserve">Build monitoring and the pipeline health view</t>
  </si>
  <si>
    <t xml:space="preserve">Medium - Problems should be noticed before users see wrong numbers</t>
  </si>
  <si>
    <t xml:space="preserve">BL-23, BL-28</t>
  </si>
  <si>
    <t xml:space="preserve">A forced failure produces an alert and a health view entry</t>
  </si>
  <si>
    <t xml:space="preserve">BL-38</t>
  </si>
  <si>
    <t xml:space="preserve">Specify and instrument the Medium and Low events</t>
  </si>
  <si>
    <t xml:space="preserve">Medium - Full coverage of features and dashboards needs them</t>
  </si>
  <si>
    <t xml:space="preserve">RG-03, A044</t>
  </si>
  <si>
    <t xml:space="preserve">Handoff requirements written and events pass tests</t>
  </si>
  <si>
    <t xml:space="preserve">BL-39</t>
  </si>
  <si>
    <t xml:space="preserve">Low</t>
  </si>
  <si>
    <t xml:space="preserve">Agree change approvers, the overlap period and the notice period for breaking changes</t>
  </si>
  <si>
    <t xml:space="preserve">Low - The change process works without them at first</t>
  </si>
  <si>
    <t xml:space="preserve">M7</t>
  </si>
  <si>
    <t xml:space="preserve">RG-28, A040, A041</t>
  </si>
  <si>
    <t xml:space="preserve">Roles and periods recorded</t>
  </si>
  <si>
    <t xml:space="preserve">Change Management</t>
  </si>
  <si>
    <t xml:space="preserve">BL-40</t>
  </si>
  <si>
    <t xml:space="preserve">Confirm country-level geography is available at registration</t>
  </si>
  <si>
    <t xml:space="preserve">Low - Needed for the geographic view on the User Analytics dashboard</t>
  </si>
  <si>
    <t xml:space="preserve">A045</t>
  </si>
  <si>
    <t xml:space="preserve">Written confirmation</t>
  </si>
  <si>
    <t xml:space="preserve">BL-41</t>
  </si>
  <si>
    <t xml:space="preserve">Add real, sanitised example formats to the data dictionary</t>
  </si>
  <si>
    <t xml:space="preserve">Low - Formats matter for validation but do not block design</t>
  </si>
  <si>
    <t xml:space="preserve">Documentation</t>
  </si>
  <si>
    <t xml:space="preserve">RG-08, A022</t>
  </si>
  <si>
    <t xml:space="preserve">Examples added</t>
  </si>
  <si>
    <t xml:space="preserve">Data Dictionary</t>
  </si>
  <si>
    <t xml:space="preserve">BL-42</t>
  </si>
  <si>
    <t xml:space="preserve">Set the small-group suppression size and the access review cadence</t>
  </si>
  <si>
    <t xml:space="preserve">Low - Needed for safe aggregated reporting but not blocking</t>
  </si>
  <si>
    <t xml:space="preserve">BL-34, BL-14</t>
  </si>
  <si>
    <t xml:space="preserve">RG-26, A038, A039</t>
  </si>
  <si>
    <t xml:space="preserve">Values agreed</t>
  </si>
  <si>
    <t xml:space="preserve">BL-43</t>
  </si>
  <si>
    <t xml:space="preserve">Review scale triggers and add Phase 2 components only where a trigger is met</t>
  </si>
  <si>
    <t xml:space="preserve">Low - Avoid infrastructure added only because it sounds professional</t>
  </si>
  <si>
    <t xml:space="preserve">Pipeline Proposal (scale triggers)</t>
  </si>
  <si>
    <t xml:space="preserve">Each added component names its trigger</t>
  </si>
  <si>
    <t xml:space="preserve">Total</t>
  </si>
  <si>
    <t xml:space="preserve">Items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</si>
</sst>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5" t="s">
        <v>14</v>
      </c>
      <c r="B18" s="5" t="n">
        <f aca="false">COUNTA(Backlog!A:A)-1</f>
        <v>43</v>
      </c>
    </row>
    <row r="19" customFormat="false" ht="15" hidden="false" customHeight="false" outlineLevel="0" collapsed="false">
      <c r="A19" s="5" t="s">
        <v>15</v>
      </c>
      <c r="B19" s="5" t="n">
        <f aca="false">COUNTIF(Backlog!B:B,"Critical")</f>
        <v>6</v>
      </c>
    </row>
    <row r="20" customFormat="false" ht="15" hidden="false" customHeight="false" outlineLevel="0" collapsed="false">
      <c r="A20" s="5" t="s">
        <v>16</v>
      </c>
      <c r="B20" s="5" t="n">
        <f aca="false">COUNTIF(Backlog!G:G,"Pre-launch")</f>
        <v>33</v>
      </c>
    </row>
    <row r="21" customFormat="false" ht="15" hidden="false" customHeight="false" outlineLevel="0" collapsed="false">
      <c r="A21" s="5" t="s">
        <v>17</v>
      </c>
      <c r="B21" s="5" t="n">
        <f aca="false">COUNTIF(Backlog!G:G,"Post-launch")</f>
        <v>10</v>
      </c>
    </row>
    <row r="22" customFormat="false" ht="15" hidden="false" customHeight="false" outlineLevel="0" collapsed="false">
      <c r="A22" s="5" t="s">
        <v>18</v>
      </c>
      <c r="B22" s="5" t="n">
        <f aca="false">COUNTIF(Backlog!I:I,1)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54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42"/>
    <col collapsed="false" customWidth="true" hidden="false" outlineLevel="0" max="13" min="13" style="0" width="3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</row>
    <row r="2" customFormat="false" ht="35.05" hidden="false" customHeight="false" outlineLevel="0" collapsed="false">
      <c r="A2" s="7" t="s">
        <v>34</v>
      </c>
      <c r="B2" s="8" t="s">
        <v>15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16</v>
      </c>
      <c r="H2" s="7" t="s">
        <v>39</v>
      </c>
      <c r="I2" s="7" t="n">
        <v>1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</row>
    <row r="3" customFormat="false" ht="35.05" hidden="false" customHeight="false" outlineLevel="0" collapsed="false">
      <c r="A3" s="7" t="s">
        <v>46</v>
      </c>
      <c r="B3" s="8" t="s">
        <v>15</v>
      </c>
      <c r="C3" s="7" t="s">
        <v>47</v>
      </c>
      <c r="D3" s="7" t="s">
        <v>48</v>
      </c>
      <c r="E3" s="7" t="s">
        <v>37</v>
      </c>
      <c r="F3" s="7" t="s">
        <v>38</v>
      </c>
      <c r="G3" s="7" t="s">
        <v>16</v>
      </c>
      <c r="H3" s="7" t="s">
        <v>49</v>
      </c>
      <c r="I3" s="7" t="n">
        <v>1</v>
      </c>
      <c r="J3" s="7" t="s">
        <v>40</v>
      </c>
      <c r="K3" s="7" t="s">
        <v>50</v>
      </c>
      <c r="L3" s="7" t="s">
        <v>51</v>
      </c>
      <c r="M3" s="7" t="s">
        <v>52</v>
      </c>
      <c r="N3" s="7" t="s">
        <v>44</v>
      </c>
      <c r="O3" s="7" t="s">
        <v>45</v>
      </c>
    </row>
    <row r="4" customFormat="false" ht="35.05" hidden="false" customHeight="false" outlineLevel="0" collapsed="false">
      <c r="A4" s="7" t="s">
        <v>53</v>
      </c>
      <c r="B4" s="8" t="s">
        <v>15</v>
      </c>
      <c r="C4" s="7" t="s">
        <v>54</v>
      </c>
      <c r="D4" s="7" t="s">
        <v>55</v>
      </c>
      <c r="E4" s="7" t="s">
        <v>37</v>
      </c>
      <c r="F4" s="7" t="s">
        <v>56</v>
      </c>
      <c r="G4" s="7" t="s">
        <v>16</v>
      </c>
      <c r="H4" s="7" t="s">
        <v>39</v>
      </c>
      <c r="I4" s="7" t="n">
        <v>1</v>
      </c>
      <c r="J4" s="7" t="s">
        <v>40</v>
      </c>
      <c r="K4" s="7" t="s">
        <v>57</v>
      </c>
      <c r="L4" s="7" t="s">
        <v>58</v>
      </c>
      <c r="M4" s="7" t="s">
        <v>59</v>
      </c>
      <c r="N4" s="7" t="s">
        <v>44</v>
      </c>
      <c r="O4" s="7" t="s">
        <v>45</v>
      </c>
    </row>
    <row r="5" customFormat="false" ht="35.05" hidden="false" customHeight="false" outlineLevel="0" collapsed="false">
      <c r="A5" s="7" t="s">
        <v>60</v>
      </c>
      <c r="B5" s="8" t="s">
        <v>15</v>
      </c>
      <c r="C5" s="7" t="s">
        <v>61</v>
      </c>
      <c r="D5" s="7" t="s">
        <v>62</v>
      </c>
      <c r="E5" s="7" t="s">
        <v>46</v>
      </c>
      <c r="F5" s="7" t="s">
        <v>38</v>
      </c>
      <c r="G5" s="7" t="s">
        <v>16</v>
      </c>
      <c r="H5" s="7" t="s">
        <v>49</v>
      </c>
      <c r="I5" s="7" t="n">
        <v>2</v>
      </c>
      <c r="J5" s="7" t="s">
        <v>40</v>
      </c>
      <c r="K5" s="7" t="s">
        <v>63</v>
      </c>
      <c r="L5" s="7" t="s">
        <v>64</v>
      </c>
      <c r="M5" s="7" t="s">
        <v>65</v>
      </c>
      <c r="N5" s="7" t="s">
        <v>44</v>
      </c>
      <c r="O5" s="7" t="s">
        <v>45</v>
      </c>
    </row>
    <row r="6" customFormat="false" ht="35.05" hidden="false" customHeight="false" outlineLevel="0" collapsed="false">
      <c r="A6" s="7" t="s">
        <v>66</v>
      </c>
      <c r="B6" s="8" t="s">
        <v>15</v>
      </c>
      <c r="C6" s="7" t="s">
        <v>67</v>
      </c>
      <c r="D6" s="7" t="s">
        <v>68</v>
      </c>
      <c r="E6" s="7" t="s">
        <v>69</v>
      </c>
      <c r="F6" s="7" t="s">
        <v>38</v>
      </c>
      <c r="G6" s="7" t="s">
        <v>16</v>
      </c>
      <c r="H6" s="7" t="s">
        <v>49</v>
      </c>
      <c r="I6" s="7" t="n">
        <v>3</v>
      </c>
      <c r="J6" s="7" t="s">
        <v>70</v>
      </c>
      <c r="K6" s="7" t="s">
        <v>71</v>
      </c>
      <c r="L6" s="7" t="s">
        <v>72</v>
      </c>
      <c r="M6" s="7" t="s">
        <v>73</v>
      </c>
      <c r="N6" s="7" t="s">
        <v>44</v>
      </c>
      <c r="O6" s="7" t="s">
        <v>45</v>
      </c>
    </row>
    <row r="7" customFormat="false" ht="35.05" hidden="false" customHeight="false" outlineLevel="0" collapsed="false">
      <c r="A7" s="7" t="s">
        <v>74</v>
      </c>
      <c r="B7" s="8" t="s">
        <v>15</v>
      </c>
      <c r="C7" s="7" t="s">
        <v>75</v>
      </c>
      <c r="D7" s="7" t="s">
        <v>76</v>
      </c>
      <c r="E7" s="7" t="s">
        <v>77</v>
      </c>
      <c r="F7" s="7" t="s">
        <v>38</v>
      </c>
      <c r="G7" s="7" t="s">
        <v>16</v>
      </c>
      <c r="H7" s="7" t="s">
        <v>49</v>
      </c>
      <c r="I7" s="7" t="n">
        <v>5</v>
      </c>
      <c r="J7" s="7" t="s">
        <v>70</v>
      </c>
      <c r="K7" s="7" t="s">
        <v>78</v>
      </c>
      <c r="L7" s="7" t="s">
        <v>79</v>
      </c>
      <c r="M7" s="7" t="s">
        <v>73</v>
      </c>
      <c r="N7" s="7" t="s">
        <v>44</v>
      </c>
      <c r="O7" s="7" t="s">
        <v>45</v>
      </c>
    </row>
    <row r="8" customFormat="false" ht="35.05" hidden="false" customHeight="false" outlineLevel="0" collapsed="false">
      <c r="A8" s="7" t="s">
        <v>80</v>
      </c>
      <c r="B8" s="9" t="s">
        <v>81</v>
      </c>
      <c r="C8" s="7" t="s">
        <v>82</v>
      </c>
      <c r="D8" s="7" t="s">
        <v>83</v>
      </c>
      <c r="E8" s="7" t="s">
        <v>37</v>
      </c>
      <c r="F8" s="7" t="s">
        <v>84</v>
      </c>
      <c r="G8" s="7" t="s">
        <v>16</v>
      </c>
      <c r="H8" s="7" t="s">
        <v>85</v>
      </c>
      <c r="I8" s="7" t="n">
        <v>1</v>
      </c>
      <c r="J8" s="7" t="s">
        <v>40</v>
      </c>
      <c r="K8" s="7" t="s">
        <v>86</v>
      </c>
      <c r="L8" s="7" t="s">
        <v>87</v>
      </c>
      <c r="M8" s="7" t="s">
        <v>88</v>
      </c>
      <c r="N8" s="7" t="s">
        <v>44</v>
      </c>
      <c r="O8" s="7" t="s">
        <v>89</v>
      </c>
    </row>
    <row r="9" customFormat="false" ht="35.05" hidden="false" customHeight="false" outlineLevel="0" collapsed="false">
      <c r="A9" s="7" t="s">
        <v>90</v>
      </c>
      <c r="B9" s="9" t="s">
        <v>81</v>
      </c>
      <c r="C9" s="7" t="s">
        <v>91</v>
      </c>
      <c r="D9" s="7" t="s">
        <v>92</v>
      </c>
      <c r="E9" s="7" t="s">
        <v>37</v>
      </c>
      <c r="F9" s="7" t="s">
        <v>84</v>
      </c>
      <c r="G9" s="7" t="s">
        <v>16</v>
      </c>
      <c r="H9" s="7" t="s">
        <v>85</v>
      </c>
      <c r="I9" s="7" t="n">
        <v>1</v>
      </c>
      <c r="J9" s="7" t="s">
        <v>40</v>
      </c>
      <c r="K9" s="7" t="s">
        <v>93</v>
      </c>
      <c r="L9" s="7" t="s">
        <v>94</v>
      </c>
      <c r="M9" s="7" t="s">
        <v>95</v>
      </c>
      <c r="N9" s="7" t="s">
        <v>44</v>
      </c>
      <c r="O9" s="7" t="s">
        <v>89</v>
      </c>
    </row>
    <row r="10" customFormat="false" ht="35.05" hidden="false" customHeight="false" outlineLevel="0" collapsed="false">
      <c r="A10" s="7" t="s">
        <v>96</v>
      </c>
      <c r="B10" s="9" t="s">
        <v>81</v>
      </c>
      <c r="C10" s="7" t="s">
        <v>97</v>
      </c>
      <c r="D10" s="7" t="s">
        <v>98</v>
      </c>
      <c r="E10" s="7" t="s">
        <v>37</v>
      </c>
      <c r="F10" s="7" t="s">
        <v>99</v>
      </c>
      <c r="G10" s="7" t="s">
        <v>16</v>
      </c>
      <c r="H10" s="7" t="s">
        <v>85</v>
      </c>
      <c r="I10" s="7" t="n">
        <v>1</v>
      </c>
      <c r="J10" s="7" t="s">
        <v>40</v>
      </c>
      <c r="K10" s="7" t="s">
        <v>100</v>
      </c>
      <c r="L10" s="7" t="s">
        <v>101</v>
      </c>
      <c r="M10" s="7" t="s">
        <v>102</v>
      </c>
      <c r="N10" s="7" t="s">
        <v>44</v>
      </c>
      <c r="O10" s="7" t="s">
        <v>103</v>
      </c>
    </row>
    <row r="11" customFormat="false" ht="35.05" hidden="false" customHeight="false" outlineLevel="0" collapsed="false">
      <c r="A11" s="7" t="s">
        <v>104</v>
      </c>
      <c r="B11" s="9" t="s">
        <v>81</v>
      </c>
      <c r="C11" s="7" t="s">
        <v>105</v>
      </c>
      <c r="D11" s="7" t="s">
        <v>106</v>
      </c>
      <c r="E11" s="7" t="s">
        <v>37</v>
      </c>
      <c r="F11" s="7" t="s">
        <v>56</v>
      </c>
      <c r="G11" s="7" t="s">
        <v>16</v>
      </c>
      <c r="H11" s="7" t="s">
        <v>49</v>
      </c>
      <c r="I11" s="7" t="n">
        <v>1</v>
      </c>
      <c r="J11" s="7" t="s">
        <v>40</v>
      </c>
      <c r="K11" s="7" t="s">
        <v>107</v>
      </c>
      <c r="L11" s="7" t="s">
        <v>108</v>
      </c>
      <c r="M11" s="7" t="s">
        <v>109</v>
      </c>
      <c r="N11" s="7" t="s">
        <v>44</v>
      </c>
      <c r="O11" s="7" t="s">
        <v>103</v>
      </c>
    </row>
    <row r="12" customFormat="false" ht="35.05" hidden="false" customHeight="false" outlineLevel="0" collapsed="false">
      <c r="A12" s="7" t="s">
        <v>110</v>
      </c>
      <c r="B12" s="9" t="s">
        <v>81</v>
      </c>
      <c r="C12" s="7" t="s">
        <v>111</v>
      </c>
      <c r="D12" s="7" t="s">
        <v>112</v>
      </c>
      <c r="E12" s="7" t="s">
        <v>37</v>
      </c>
      <c r="F12" s="7" t="s">
        <v>84</v>
      </c>
      <c r="G12" s="7" t="s">
        <v>16</v>
      </c>
      <c r="H12" s="7" t="s">
        <v>39</v>
      </c>
      <c r="I12" s="7" t="n">
        <v>1</v>
      </c>
      <c r="J12" s="7" t="s">
        <v>40</v>
      </c>
      <c r="K12" s="7" t="s">
        <v>113</v>
      </c>
      <c r="L12" s="7" t="s">
        <v>114</v>
      </c>
      <c r="M12" s="7" t="s">
        <v>115</v>
      </c>
      <c r="N12" s="7" t="s">
        <v>44</v>
      </c>
      <c r="O12" s="7" t="s">
        <v>89</v>
      </c>
    </row>
    <row r="13" customFormat="false" ht="35.05" hidden="false" customHeight="false" outlineLevel="0" collapsed="false">
      <c r="A13" s="7" t="s">
        <v>116</v>
      </c>
      <c r="B13" s="9" t="s">
        <v>81</v>
      </c>
      <c r="C13" s="7" t="s">
        <v>117</v>
      </c>
      <c r="D13" s="7" t="s">
        <v>118</v>
      </c>
      <c r="E13" s="7" t="s">
        <v>37</v>
      </c>
      <c r="F13" s="7" t="s">
        <v>119</v>
      </c>
      <c r="G13" s="7" t="s">
        <v>16</v>
      </c>
      <c r="H13" s="7" t="s">
        <v>120</v>
      </c>
      <c r="I13" s="7" t="n">
        <v>1</v>
      </c>
      <c r="J13" s="7" t="s">
        <v>121</v>
      </c>
      <c r="K13" s="7" t="s">
        <v>122</v>
      </c>
      <c r="L13" s="7" t="s">
        <v>123</v>
      </c>
      <c r="M13" s="7" t="s">
        <v>124</v>
      </c>
      <c r="N13" s="7" t="s">
        <v>44</v>
      </c>
      <c r="O13" s="7" t="s">
        <v>89</v>
      </c>
    </row>
    <row r="14" customFormat="false" ht="35.05" hidden="false" customHeight="false" outlineLevel="0" collapsed="false">
      <c r="A14" s="7" t="s">
        <v>125</v>
      </c>
      <c r="B14" s="9" t="s">
        <v>81</v>
      </c>
      <c r="C14" s="7" t="s">
        <v>126</v>
      </c>
      <c r="D14" s="7" t="s">
        <v>127</v>
      </c>
      <c r="E14" s="7" t="s">
        <v>37</v>
      </c>
      <c r="F14" s="7" t="s">
        <v>56</v>
      </c>
      <c r="G14" s="7" t="s">
        <v>16</v>
      </c>
      <c r="H14" s="7" t="s">
        <v>49</v>
      </c>
      <c r="I14" s="7" t="n">
        <v>1</v>
      </c>
      <c r="J14" s="7" t="s">
        <v>128</v>
      </c>
      <c r="K14" s="7" t="s">
        <v>129</v>
      </c>
      <c r="L14" s="7" t="s">
        <v>130</v>
      </c>
      <c r="M14" s="7" t="s">
        <v>131</v>
      </c>
      <c r="N14" s="7" t="s">
        <v>44</v>
      </c>
      <c r="O14" s="7" t="s">
        <v>89</v>
      </c>
    </row>
    <row r="15" customFormat="false" ht="35.05" hidden="false" customHeight="false" outlineLevel="0" collapsed="false">
      <c r="A15" s="7" t="s">
        <v>132</v>
      </c>
      <c r="B15" s="9" t="s">
        <v>81</v>
      </c>
      <c r="C15" s="7" t="s">
        <v>133</v>
      </c>
      <c r="D15" s="7" t="s">
        <v>134</v>
      </c>
      <c r="E15" s="7" t="s">
        <v>37</v>
      </c>
      <c r="F15" s="7" t="s">
        <v>135</v>
      </c>
      <c r="G15" s="7" t="s">
        <v>16</v>
      </c>
      <c r="H15" s="7" t="s">
        <v>136</v>
      </c>
      <c r="I15" s="7" t="n">
        <v>1</v>
      </c>
      <c r="J15" s="7" t="s">
        <v>128</v>
      </c>
      <c r="K15" s="7" t="s">
        <v>137</v>
      </c>
      <c r="L15" s="7" t="s">
        <v>138</v>
      </c>
      <c r="M15" s="7" t="s">
        <v>139</v>
      </c>
      <c r="N15" s="7" t="s">
        <v>44</v>
      </c>
      <c r="O15" s="7" t="s">
        <v>89</v>
      </c>
    </row>
    <row r="16" customFormat="false" ht="35.05" hidden="false" customHeight="false" outlineLevel="0" collapsed="false">
      <c r="A16" s="7" t="s">
        <v>140</v>
      </c>
      <c r="B16" s="9" t="s">
        <v>81</v>
      </c>
      <c r="C16" s="7" t="s">
        <v>141</v>
      </c>
      <c r="D16" s="7" t="s">
        <v>142</v>
      </c>
      <c r="E16" s="7" t="s">
        <v>143</v>
      </c>
      <c r="F16" s="7" t="s">
        <v>56</v>
      </c>
      <c r="G16" s="7" t="s">
        <v>16</v>
      </c>
      <c r="H16" s="7" t="s">
        <v>39</v>
      </c>
      <c r="I16" s="7" t="n">
        <v>2</v>
      </c>
      <c r="J16" s="7" t="s">
        <v>40</v>
      </c>
      <c r="K16" s="7" t="s">
        <v>144</v>
      </c>
      <c r="L16" s="7" t="s">
        <v>145</v>
      </c>
      <c r="M16" s="7" t="s">
        <v>146</v>
      </c>
      <c r="N16" s="7" t="s">
        <v>44</v>
      </c>
      <c r="O16" s="7" t="s">
        <v>103</v>
      </c>
    </row>
    <row r="17" customFormat="false" ht="35.05" hidden="false" customHeight="false" outlineLevel="0" collapsed="false">
      <c r="A17" s="7" t="s">
        <v>147</v>
      </c>
      <c r="B17" s="9" t="s">
        <v>81</v>
      </c>
      <c r="C17" s="7" t="s">
        <v>148</v>
      </c>
      <c r="D17" s="7" t="s">
        <v>149</v>
      </c>
      <c r="E17" s="7" t="s">
        <v>34</v>
      </c>
      <c r="F17" s="7" t="s">
        <v>38</v>
      </c>
      <c r="G17" s="7" t="s">
        <v>16</v>
      </c>
      <c r="H17" s="7" t="s">
        <v>85</v>
      </c>
      <c r="I17" s="7" t="n">
        <v>2</v>
      </c>
      <c r="J17" s="7" t="s">
        <v>70</v>
      </c>
      <c r="K17" s="7" t="s">
        <v>150</v>
      </c>
      <c r="L17" s="7" t="s">
        <v>151</v>
      </c>
      <c r="M17" s="7" t="s">
        <v>152</v>
      </c>
      <c r="N17" s="7" t="s">
        <v>44</v>
      </c>
      <c r="O17" s="7" t="s">
        <v>103</v>
      </c>
    </row>
    <row r="18" customFormat="false" ht="35.05" hidden="false" customHeight="false" outlineLevel="0" collapsed="false">
      <c r="A18" s="7" t="s">
        <v>153</v>
      </c>
      <c r="B18" s="9" t="s">
        <v>81</v>
      </c>
      <c r="C18" s="7" t="s">
        <v>154</v>
      </c>
      <c r="D18" s="7" t="s">
        <v>155</v>
      </c>
      <c r="E18" s="7" t="s">
        <v>34</v>
      </c>
      <c r="F18" s="7" t="s">
        <v>38</v>
      </c>
      <c r="G18" s="7" t="s">
        <v>16</v>
      </c>
      <c r="H18" s="7" t="s">
        <v>49</v>
      </c>
      <c r="I18" s="7" t="n">
        <v>2</v>
      </c>
      <c r="J18" s="7" t="s">
        <v>70</v>
      </c>
      <c r="K18" s="7" t="s">
        <v>156</v>
      </c>
      <c r="L18" s="7" t="s">
        <v>157</v>
      </c>
      <c r="M18" s="7" t="s">
        <v>158</v>
      </c>
      <c r="N18" s="7" t="s">
        <v>44</v>
      </c>
      <c r="O18" s="7" t="s">
        <v>89</v>
      </c>
    </row>
    <row r="19" customFormat="false" ht="35.05" hidden="false" customHeight="false" outlineLevel="0" collapsed="false">
      <c r="A19" s="7" t="s">
        <v>159</v>
      </c>
      <c r="B19" s="9" t="s">
        <v>81</v>
      </c>
      <c r="C19" s="7" t="s">
        <v>160</v>
      </c>
      <c r="D19" s="7" t="s">
        <v>161</v>
      </c>
      <c r="E19" s="7" t="s">
        <v>34</v>
      </c>
      <c r="F19" s="7" t="s">
        <v>56</v>
      </c>
      <c r="G19" s="7" t="s">
        <v>16</v>
      </c>
      <c r="H19" s="7" t="s">
        <v>49</v>
      </c>
      <c r="I19" s="7" t="n">
        <v>2</v>
      </c>
      <c r="J19" s="7" t="s">
        <v>70</v>
      </c>
      <c r="K19" s="7" t="s">
        <v>162</v>
      </c>
      <c r="L19" s="7" t="s">
        <v>163</v>
      </c>
      <c r="M19" s="7" t="s">
        <v>164</v>
      </c>
      <c r="N19" s="7" t="s">
        <v>44</v>
      </c>
      <c r="O19" s="7" t="s">
        <v>89</v>
      </c>
    </row>
    <row r="20" customFormat="false" ht="35.05" hidden="false" customHeight="false" outlineLevel="0" collapsed="false">
      <c r="A20" s="7" t="s">
        <v>165</v>
      </c>
      <c r="B20" s="9" t="s">
        <v>81</v>
      </c>
      <c r="C20" s="7" t="s">
        <v>166</v>
      </c>
      <c r="D20" s="7" t="s">
        <v>167</v>
      </c>
      <c r="E20" s="7" t="s">
        <v>147</v>
      </c>
      <c r="F20" s="7" t="s">
        <v>38</v>
      </c>
      <c r="G20" s="7" t="s">
        <v>16</v>
      </c>
      <c r="H20" s="7" t="s">
        <v>39</v>
      </c>
      <c r="I20" s="7" t="n">
        <v>3</v>
      </c>
      <c r="J20" s="7" t="s">
        <v>70</v>
      </c>
      <c r="K20" s="7" t="s">
        <v>168</v>
      </c>
      <c r="L20" s="7" t="s">
        <v>169</v>
      </c>
      <c r="M20" s="7" t="s">
        <v>152</v>
      </c>
      <c r="N20" s="7" t="s">
        <v>44</v>
      </c>
      <c r="O20" s="7" t="s">
        <v>89</v>
      </c>
    </row>
    <row r="21" customFormat="false" ht="35.05" hidden="false" customHeight="false" outlineLevel="0" collapsed="false">
      <c r="A21" s="7" t="s">
        <v>170</v>
      </c>
      <c r="B21" s="9" t="s">
        <v>81</v>
      </c>
      <c r="C21" s="7" t="s">
        <v>171</v>
      </c>
      <c r="D21" s="7" t="s">
        <v>172</v>
      </c>
      <c r="E21" s="7" t="s">
        <v>147</v>
      </c>
      <c r="F21" s="7" t="s">
        <v>173</v>
      </c>
      <c r="G21" s="7" t="s">
        <v>16</v>
      </c>
      <c r="H21" s="7" t="s">
        <v>49</v>
      </c>
      <c r="I21" s="7" t="n">
        <v>3</v>
      </c>
      <c r="J21" s="7" t="s">
        <v>70</v>
      </c>
      <c r="K21" s="7" t="s">
        <v>174</v>
      </c>
      <c r="L21" s="7" t="s">
        <v>175</v>
      </c>
      <c r="M21" s="7" t="s">
        <v>176</v>
      </c>
      <c r="N21" s="7" t="s">
        <v>44</v>
      </c>
      <c r="O21" s="7" t="s">
        <v>89</v>
      </c>
    </row>
    <row r="22" customFormat="false" ht="35.05" hidden="false" customHeight="false" outlineLevel="0" collapsed="false">
      <c r="A22" s="7" t="s">
        <v>177</v>
      </c>
      <c r="B22" s="9" t="s">
        <v>81</v>
      </c>
      <c r="C22" s="7" t="s">
        <v>178</v>
      </c>
      <c r="D22" s="7" t="s">
        <v>179</v>
      </c>
      <c r="E22" s="7" t="s">
        <v>180</v>
      </c>
      <c r="F22" s="7" t="s">
        <v>38</v>
      </c>
      <c r="G22" s="7" t="s">
        <v>16</v>
      </c>
      <c r="H22" s="7" t="s">
        <v>49</v>
      </c>
      <c r="I22" s="7" t="n">
        <v>4</v>
      </c>
      <c r="J22" s="7" t="s">
        <v>70</v>
      </c>
      <c r="K22" s="7" t="s">
        <v>181</v>
      </c>
      <c r="L22" s="7" t="s">
        <v>182</v>
      </c>
      <c r="M22" s="7" t="s">
        <v>176</v>
      </c>
      <c r="N22" s="7" t="s">
        <v>44</v>
      </c>
      <c r="O22" s="7" t="s">
        <v>103</v>
      </c>
    </row>
    <row r="23" customFormat="false" ht="35.05" hidden="false" customHeight="false" outlineLevel="0" collapsed="false">
      <c r="A23" s="7" t="s">
        <v>183</v>
      </c>
      <c r="B23" s="9" t="s">
        <v>81</v>
      </c>
      <c r="C23" s="7" t="s">
        <v>184</v>
      </c>
      <c r="D23" s="7" t="s">
        <v>185</v>
      </c>
      <c r="E23" s="7" t="s">
        <v>186</v>
      </c>
      <c r="F23" s="7" t="s">
        <v>38</v>
      </c>
      <c r="G23" s="7" t="s">
        <v>16</v>
      </c>
      <c r="H23" s="7" t="s">
        <v>49</v>
      </c>
      <c r="I23" s="7" t="n">
        <v>6</v>
      </c>
      <c r="J23" s="7" t="s">
        <v>187</v>
      </c>
      <c r="K23" s="7" t="s">
        <v>188</v>
      </c>
      <c r="L23" s="7" t="s">
        <v>79</v>
      </c>
      <c r="M23" s="7" t="s">
        <v>73</v>
      </c>
      <c r="N23" s="7" t="s">
        <v>44</v>
      </c>
      <c r="O23" s="7" t="s">
        <v>89</v>
      </c>
    </row>
    <row r="24" customFormat="false" ht="35.05" hidden="false" customHeight="false" outlineLevel="0" collapsed="false">
      <c r="A24" s="7" t="s">
        <v>189</v>
      </c>
      <c r="B24" s="9" t="s">
        <v>81</v>
      </c>
      <c r="C24" s="7" t="s">
        <v>190</v>
      </c>
      <c r="D24" s="7" t="s">
        <v>191</v>
      </c>
      <c r="E24" s="7" t="s">
        <v>192</v>
      </c>
      <c r="F24" s="7" t="s">
        <v>193</v>
      </c>
      <c r="G24" s="7" t="s">
        <v>16</v>
      </c>
      <c r="H24" s="7" t="s">
        <v>49</v>
      </c>
      <c r="I24" s="7" t="n">
        <v>6</v>
      </c>
      <c r="J24" s="7" t="s">
        <v>128</v>
      </c>
      <c r="K24" s="7" t="s">
        <v>194</v>
      </c>
      <c r="L24" s="7" t="s">
        <v>195</v>
      </c>
      <c r="M24" s="7" t="s">
        <v>196</v>
      </c>
      <c r="N24" s="7" t="s">
        <v>44</v>
      </c>
      <c r="O24" s="7" t="s">
        <v>89</v>
      </c>
    </row>
    <row r="25" customFormat="false" ht="35.05" hidden="false" customHeight="false" outlineLevel="0" collapsed="false">
      <c r="A25" s="7" t="s">
        <v>197</v>
      </c>
      <c r="B25" s="9" t="s">
        <v>81</v>
      </c>
      <c r="C25" s="7" t="s">
        <v>198</v>
      </c>
      <c r="D25" s="7" t="s">
        <v>199</v>
      </c>
      <c r="E25" s="7" t="s">
        <v>200</v>
      </c>
      <c r="F25" s="7" t="s">
        <v>193</v>
      </c>
      <c r="G25" s="7" t="s">
        <v>17</v>
      </c>
      <c r="H25" s="7" t="s">
        <v>49</v>
      </c>
      <c r="I25" s="7" t="n">
        <v>7</v>
      </c>
      <c r="J25" s="7" t="s">
        <v>201</v>
      </c>
      <c r="K25" s="7" t="s">
        <v>202</v>
      </c>
      <c r="L25" s="7" t="s">
        <v>203</v>
      </c>
      <c r="M25" s="7" t="s">
        <v>204</v>
      </c>
      <c r="N25" s="7" t="s">
        <v>44</v>
      </c>
      <c r="O25" s="7" t="s">
        <v>89</v>
      </c>
    </row>
    <row r="26" customFormat="false" ht="35.05" hidden="false" customHeight="false" outlineLevel="0" collapsed="false">
      <c r="A26" s="7" t="s">
        <v>205</v>
      </c>
      <c r="B26" s="9" t="s">
        <v>81</v>
      </c>
      <c r="C26" s="7" t="s">
        <v>206</v>
      </c>
      <c r="D26" s="7" t="s">
        <v>207</v>
      </c>
      <c r="E26" s="7" t="s">
        <v>197</v>
      </c>
      <c r="F26" s="7" t="s">
        <v>208</v>
      </c>
      <c r="G26" s="7" t="s">
        <v>17</v>
      </c>
      <c r="H26" s="7" t="s">
        <v>49</v>
      </c>
      <c r="I26" s="7" t="n">
        <v>8</v>
      </c>
      <c r="J26" s="7" t="s">
        <v>201</v>
      </c>
      <c r="K26" s="7" t="s">
        <v>209</v>
      </c>
      <c r="L26" s="7" t="s">
        <v>210</v>
      </c>
      <c r="M26" s="7" t="s">
        <v>211</v>
      </c>
      <c r="N26" s="7" t="s">
        <v>44</v>
      </c>
      <c r="O26" s="7" t="s">
        <v>89</v>
      </c>
    </row>
    <row r="27" customFormat="false" ht="35.05" hidden="false" customHeight="false" outlineLevel="0" collapsed="false">
      <c r="A27" s="7" t="s">
        <v>212</v>
      </c>
      <c r="B27" s="10" t="s">
        <v>213</v>
      </c>
      <c r="C27" s="7" t="s">
        <v>214</v>
      </c>
      <c r="D27" s="7" t="s">
        <v>215</v>
      </c>
      <c r="E27" s="7" t="s">
        <v>37</v>
      </c>
      <c r="F27" s="7" t="s">
        <v>216</v>
      </c>
      <c r="G27" s="7" t="s">
        <v>16</v>
      </c>
      <c r="H27" s="7" t="s">
        <v>85</v>
      </c>
      <c r="I27" s="7" t="n">
        <v>1</v>
      </c>
      <c r="J27" s="7" t="s">
        <v>128</v>
      </c>
      <c r="K27" s="7" t="s">
        <v>217</v>
      </c>
      <c r="L27" s="7" t="s">
        <v>218</v>
      </c>
      <c r="M27" s="7" t="s">
        <v>219</v>
      </c>
      <c r="N27" s="7" t="s">
        <v>44</v>
      </c>
      <c r="O27" s="7" t="s">
        <v>89</v>
      </c>
    </row>
    <row r="28" customFormat="false" ht="35.05" hidden="false" customHeight="false" outlineLevel="0" collapsed="false">
      <c r="A28" s="7" t="s">
        <v>220</v>
      </c>
      <c r="B28" s="10" t="s">
        <v>213</v>
      </c>
      <c r="C28" s="7" t="s">
        <v>221</v>
      </c>
      <c r="D28" s="7" t="s">
        <v>222</v>
      </c>
      <c r="E28" s="7" t="s">
        <v>37</v>
      </c>
      <c r="F28" s="7" t="s">
        <v>208</v>
      </c>
      <c r="G28" s="7" t="s">
        <v>16</v>
      </c>
      <c r="H28" s="7" t="s">
        <v>136</v>
      </c>
      <c r="I28" s="7" t="n">
        <v>1</v>
      </c>
      <c r="J28" s="7" t="s">
        <v>128</v>
      </c>
      <c r="K28" s="7" t="s">
        <v>223</v>
      </c>
      <c r="L28" s="7" t="s">
        <v>224</v>
      </c>
      <c r="M28" s="7" t="s">
        <v>225</v>
      </c>
      <c r="N28" s="7" t="s">
        <v>44</v>
      </c>
      <c r="O28" s="7" t="s">
        <v>89</v>
      </c>
    </row>
    <row r="29" customFormat="false" ht="35.05" hidden="false" customHeight="false" outlineLevel="0" collapsed="false">
      <c r="A29" s="7" t="s">
        <v>226</v>
      </c>
      <c r="B29" s="10" t="s">
        <v>213</v>
      </c>
      <c r="C29" s="7" t="s">
        <v>227</v>
      </c>
      <c r="D29" s="7" t="s">
        <v>228</v>
      </c>
      <c r="E29" s="7" t="s">
        <v>37</v>
      </c>
      <c r="F29" s="7" t="s">
        <v>229</v>
      </c>
      <c r="G29" s="7" t="s">
        <v>16</v>
      </c>
      <c r="H29" s="7" t="s">
        <v>85</v>
      </c>
      <c r="I29" s="7" t="n">
        <v>1</v>
      </c>
      <c r="J29" s="7" t="s">
        <v>230</v>
      </c>
      <c r="K29" s="7" t="s">
        <v>231</v>
      </c>
      <c r="L29" s="7" t="s">
        <v>232</v>
      </c>
      <c r="M29" s="7" t="s">
        <v>233</v>
      </c>
      <c r="N29" s="7" t="s">
        <v>44</v>
      </c>
      <c r="O29" s="7" t="s">
        <v>89</v>
      </c>
    </row>
    <row r="30" customFormat="false" ht="35.05" hidden="false" customHeight="false" outlineLevel="0" collapsed="false">
      <c r="A30" s="7" t="s">
        <v>234</v>
      </c>
      <c r="B30" s="10" t="s">
        <v>213</v>
      </c>
      <c r="C30" s="7" t="s">
        <v>235</v>
      </c>
      <c r="D30" s="7" t="s">
        <v>236</v>
      </c>
      <c r="E30" s="7" t="s">
        <v>37</v>
      </c>
      <c r="F30" s="7" t="s">
        <v>237</v>
      </c>
      <c r="G30" s="7" t="s">
        <v>16</v>
      </c>
      <c r="H30" s="7" t="s">
        <v>136</v>
      </c>
      <c r="I30" s="7" t="n">
        <v>1</v>
      </c>
      <c r="J30" s="7" t="s">
        <v>128</v>
      </c>
      <c r="K30" s="7" t="s">
        <v>238</v>
      </c>
      <c r="L30" s="7" t="s">
        <v>239</v>
      </c>
      <c r="M30" s="7" t="s">
        <v>139</v>
      </c>
      <c r="N30" s="7" t="s">
        <v>44</v>
      </c>
      <c r="O30" s="7" t="s">
        <v>89</v>
      </c>
    </row>
    <row r="31" customFormat="false" ht="35.05" hidden="false" customHeight="false" outlineLevel="0" collapsed="false">
      <c r="A31" s="7" t="s">
        <v>240</v>
      </c>
      <c r="B31" s="10" t="s">
        <v>213</v>
      </c>
      <c r="C31" s="7" t="s">
        <v>241</v>
      </c>
      <c r="D31" s="7" t="s">
        <v>242</v>
      </c>
      <c r="E31" s="7" t="s">
        <v>37</v>
      </c>
      <c r="F31" s="7" t="s">
        <v>193</v>
      </c>
      <c r="G31" s="7" t="s">
        <v>16</v>
      </c>
      <c r="H31" s="7" t="s">
        <v>136</v>
      </c>
      <c r="I31" s="7" t="n">
        <v>1</v>
      </c>
      <c r="J31" s="7" t="s">
        <v>40</v>
      </c>
      <c r="K31" s="7" t="s">
        <v>243</v>
      </c>
      <c r="L31" s="7" t="s">
        <v>244</v>
      </c>
      <c r="M31" s="7" t="s">
        <v>245</v>
      </c>
      <c r="N31" s="7" t="s">
        <v>44</v>
      </c>
      <c r="O31" s="7" t="s">
        <v>89</v>
      </c>
    </row>
    <row r="32" customFormat="false" ht="35.05" hidden="false" customHeight="false" outlineLevel="0" collapsed="false">
      <c r="A32" s="7" t="s">
        <v>246</v>
      </c>
      <c r="B32" s="10" t="s">
        <v>213</v>
      </c>
      <c r="C32" s="7" t="s">
        <v>247</v>
      </c>
      <c r="D32" s="7" t="s">
        <v>248</v>
      </c>
      <c r="E32" s="7" t="s">
        <v>34</v>
      </c>
      <c r="F32" s="7" t="s">
        <v>38</v>
      </c>
      <c r="G32" s="7" t="s">
        <v>16</v>
      </c>
      <c r="H32" s="7" t="s">
        <v>39</v>
      </c>
      <c r="I32" s="7" t="n">
        <v>2</v>
      </c>
      <c r="J32" s="7" t="s">
        <v>40</v>
      </c>
      <c r="K32" s="7" t="s">
        <v>249</v>
      </c>
      <c r="L32" s="7" t="s">
        <v>250</v>
      </c>
      <c r="M32" s="7" t="s">
        <v>251</v>
      </c>
      <c r="N32" s="7" t="s">
        <v>44</v>
      </c>
      <c r="O32" s="7" t="s">
        <v>89</v>
      </c>
    </row>
    <row r="33" customFormat="false" ht="35.05" hidden="false" customHeight="false" outlineLevel="0" collapsed="false">
      <c r="A33" s="7" t="s">
        <v>252</v>
      </c>
      <c r="B33" s="10" t="s">
        <v>213</v>
      </c>
      <c r="C33" s="7" t="s">
        <v>253</v>
      </c>
      <c r="D33" s="7" t="s">
        <v>254</v>
      </c>
      <c r="E33" s="7" t="s">
        <v>34</v>
      </c>
      <c r="F33" s="7" t="s">
        <v>135</v>
      </c>
      <c r="G33" s="7" t="s">
        <v>16</v>
      </c>
      <c r="H33" s="7" t="s">
        <v>39</v>
      </c>
      <c r="I33" s="7" t="n">
        <v>2</v>
      </c>
      <c r="J33" s="7" t="s">
        <v>40</v>
      </c>
      <c r="K33" s="7" t="s">
        <v>255</v>
      </c>
      <c r="L33" s="7" t="s">
        <v>256</v>
      </c>
      <c r="M33" s="7" t="s">
        <v>257</v>
      </c>
      <c r="N33" s="7" t="s">
        <v>44</v>
      </c>
      <c r="O33" s="7" t="s">
        <v>89</v>
      </c>
    </row>
    <row r="34" customFormat="false" ht="35.05" hidden="false" customHeight="false" outlineLevel="0" collapsed="false">
      <c r="A34" s="7" t="s">
        <v>258</v>
      </c>
      <c r="B34" s="10" t="s">
        <v>213</v>
      </c>
      <c r="C34" s="7" t="s">
        <v>259</v>
      </c>
      <c r="D34" s="7" t="s">
        <v>260</v>
      </c>
      <c r="E34" s="7" t="s">
        <v>34</v>
      </c>
      <c r="F34" s="7" t="s">
        <v>193</v>
      </c>
      <c r="G34" s="7" t="s">
        <v>16</v>
      </c>
      <c r="H34" s="7" t="s">
        <v>261</v>
      </c>
      <c r="I34" s="7" t="n">
        <v>2</v>
      </c>
      <c r="J34" s="7" t="s">
        <v>128</v>
      </c>
      <c r="K34" s="7" t="s">
        <v>262</v>
      </c>
      <c r="L34" s="7" t="s">
        <v>263</v>
      </c>
      <c r="M34" s="7" t="s">
        <v>264</v>
      </c>
      <c r="N34" s="7" t="s">
        <v>44</v>
      </c>
      <c r="O34" s="7" t="s">
        <v>89</v>
      </c>
    </row>
    <row r="35" customFormat="false" ht="35.05" hidden="false" customHeight="false" outlineLevel="0" collapsed="false">
      <c r="A35" s="7" t="s">
        <v>265</v>
      </c>
      <c r="B35" s="10" t="s">
        <v>213</v>
      </c>
      <c r="C35" s="7" t="s">
        <v>266</v>
      </c>
      <c r="D35" s="7" t="s">
        <v>267</v>
      </c>
      <c r="E35" s="7" t="s">
        <v>132</v>
      </c>
      <c r="F35" s="7" t="s">
        <v>268</v>
      </c>
      <c r="G35" s="7" t="s">
        <v>16</v>
      </c>
      <c r="H35" s="7" t="s">
        <v>85</v>
      </c>
      <c r="I35" s="7" t="n">
        <v>2</v>
      </c>
      <c r="J35" s="7" t="s">
        <v>201</v>
      </c>
      <c r="K35" s="7" t="s">
        <v>269</v>
      </c>
      <c r="L35" s="7" t="s">
        <v>270</v>
      </c>
      <c r="M35" s="7" t="s">
        <v>271</v>
      </c>
      <c r="N35" s="7" t="s">
        <v>44</v>
      </c>
      <c r="O35" s="7" t="s">
        <v>89</v>
      </c>
    </row>
    <row r="36" customFormat="false" ht="35.05" hidden="false" customHeight="false" outlineLevel="0" collapsed="false">
      <c r="A36" s="7" t="s">
        <v>272</v>
      </c>
      <c r="B36" s="10" t="s">
        <v>213</v>
      </c>
      <c r="C36" s="7" t="s">
        <v>273</v>
      </c>
      <c r="D36" s="7" t="s">
        <v>274</v>
      </c>
      <c r="E36" s="7" t="s">
        <v>34</v>
      </c>
      <c r="F36" s="7" t="s">
        <v>38</v>
      </c>
      <c r="G36" s="7" t="s">
        <v>17</v>
      </c>
      <c r="H36" s="7" t="s">
        <v>39</v>
      </c>
      <c r="I36" s="7" t="n">
        <v>2</v>
      </c>
      <c r="J36" s="7" t="s">
        <v>187</v>
      </c>
      <c r="K36" s="7" t="s">
        <v>275</v>
      </c>
      <c r="L36" s="7" t="s">
        <v>276</v>
      </c>
      <c r="M36" s="7" t="s">
        <v>277</v>
      </c>
      <c r="N36" s="7" t="s">
        <v>44</v>
      </c>
      <c r="O36" s="7" t="s">
        <v>89</v>
      </c>
    </row>
    <row r="37" customFormat="false" ht="35.05" hidden="false" customHeight="false" outlineLevel="0" collapsed="false">
      <c r="A37" s="7" t="s">
        <v>278</v>
      </c>
      <c r="B37" s="10" t="s">
        <v>213</v>
      </c>
      <c r="C37" s="7" t="s">
        <v>279</v>
      </c>
      <c r="D37" s="7" t="s">
        <v>280</v>
      </c>
      <c r="E37" s="7" t="s">
        <v>281</v>
      </c>
      <c r="F37" s="7" t="s">
        <v>193</v>
      </c>
      <c r="G37" s="7" t="s">
        <v>17</v>
      </c>
      <c r="H37" s="7" t="s">
        <v>136</v>
      </c>
      <c r="I37" s="7" t="n">
        <v>3</v>
      </c>
      <c r="J37" s="7" t="s">
        <v>201</v>
      </c>
      <c r="K37" s="7" t="s">
        <v>282</v>
      </c>
      <c r="L37" s="7" t="s">
        <v>283</v>
      </c>
      <c r="M37" s="7" t="s">
        <v>284</v>
      </c>
      <c r="N37" s="7" t="s">
        <v>44</v>
      </c>
      <c r="O37" s="7" t="s">
        <v>89</v>
      </c>
    </row>
    <row r="38" customFormat="false" ht="35.05" hidden="false" customHeight="false" outlineLevel="0" collapsed="false">
      <c r="A38" s="7" t="s">
        <v>285</v>
      </c>
      <c r="B38" s="10" t="s">
        <v>213</v>
      </c>
      <c r="C38" s="7" t="s">
        <v>286</v>
      </c>
      <c r="D38" s="7" t="s">
        <v>287</v>
      </c>
      <c r="E38" s="7" t="s">
        <v>288</v>
      </c>
      <c r="F38" s="7" t="s">
        <v>229</v>
      </c>
      <c r="G38" s="7" t="s">
        <v>16</v>
      </c>
      <c r="H38" s="7" t="s">
        <v>49</v>
      </c>
      <c r="I38" s="7" t="n">
        <v>7</v>
      </c>
      <c r="J38" s="7" t="s">
        <v>230</v>
      </c>
      <c r="K38" s="7" t="s">
        <v>152</v>
      </c>
      <c r="L38" s="7" t="s">
        <v>289</v>
      </c>
      <c r="M38" s="7" t="s">
        <v>152</v>
      </c>
      <c r="N38" s="7" t="s">
        <v>44</v>
      </c>
      <c r="O38" s="7" t="s">
        <v>89</v>
      </c>
    </row>
    <row r="39" customFormat="false" ht="35.05" hidden="false" customHeight="false" outlineLevel="0" collapsed="false">
      <c r="A39" s="7" t="s">
        <v>290</v>
      </c>
      <c r="B39" s="10" t="s">
        <v>213</v>
      </c>
      <c r="C39" s="7" t="s">
        <v>291</v>
      </c>
      <c r="D39" s="7" t="s">
        <v>292</v>
      </c>
      <c r="E39" s="7" t="s">
        <v>183</v>
      </c>
      <c r="F39" s="7" t="s">
        <v>173</v>
      </c>
      <c r="G39" s="7" t="s">
        <v>17</v>
      </c>
      <c r="H39" s="7" t="s">
        <v>49</v>
      </c>
      <c r="I39" s="7" t="n">
        <v>7</v>
      </c>
      <c r="J39" s="7" t="s">
        <v>187</v>
      </c>
      <c r="K39" s="7" t="s">
        <v>293</v>
      </c>
      <c r="L39" s="7" t="s">
        <v>294</v>
      </c>
      <c r="M39" s="7" t="s">
        <v>73</v>
      </c>
      <c r="N39" s="7" t="s">
        <v>44</v>
      </c>
      <c r="O39" s="7" t="s">
        <v>89</v>
      </c>
    </row>
    <row r="40" customFormat="false" ht="35.05" hidden="false" customHeight="false" outlineLevel="0" collapsed="false">
      <c r="A40" s="7" t="s">
        <v>295</v>
      </c>
      <c r="B40" s="11" t="s">
        <v>296</v>
      </c>
      <c r="C40" s="7" t="s">
        <v>297</v>
      </c>
      <c r="D40" s="7" t="s">
        <v>298</v>
      </c>
      <c r="E40" s="7" t="s">
        <v>37</v>
      </c>
      <c r="F40" s="7" t="s">
        <v>84</v>
      </c>
      <c r="G40" s="7" t="s">
        <v>17</v>
      </c>
      <c r="H40" s="7" t="s">
        <v>136</v>
      </c>
      <c r="I40" s="7" t="n">
        <v>1</v>
      </c>
      <c r="J40" s="7" t="s">
        <v>299</v>
      </c>
      <c r="K40" s="7" t="s">
        <v>300</v>
      </c>
      <c r="L40" s="7" t="s">
        <v>301</v>
      </c>
      <c r="M40" s="7" t="s">
        <v>302</v>
      </c>
      <c r="N40" s="7" t="s">
        <v>44</v>
      </c>
      <c r="O40" s="7" t="s">
        <v>89</v>
      </c>
    </row>
    <row r="41" customFormat="false" ht="35.05" hidden="false" customHeight="false" outlineLevel="0" collapsed="false">
      <c r="A41" s="7" t="s">
        <v>303</v>
      </c>
      <c r="B41" s="11" t="s">
        <v>296</v>
      </c>
      <c r="C41" s="7" t="s">
        <v>304</v>
      </c>
      <c r="D41" s="7" t="s">
        <v>305</v>
      </c>
      <c r="E41" s="7" t="s">
        <v>34</v>
      </c>
      <c r="F41" s="7" t="s">
        <v>38</v>
      </c>
      <c r="G41" s="7" t="s">
        <v>17</v>
      </c>
      <c r="H41" s="7" t="s">
        <v>39</v>
      </c>
      <c r="I41" s="7" t="n">
        <v>2</v>
      </c>
      <c r="J41" s="7" t="s">
        <v>187</v>
      </c>
      <c r="K41" s="7" t="s">
        <v>306</v>
      </c>
      <c r="L41" s="7" t="s">
        <v>307</v>
      </c>
      <c r="M41" s="7" t="s">
        <v>204</v>
      </c>
      <c r="N41" s="7" t="s">
        <v>44</v>
      </c>
      <c r="O41" s="7" t="s">
        <v>89</v>
      </c>
    </row>
    <row r="42" customFormat="false" ht="35.05" hidden="false" customHeight="false" outlineLevel="0" collapsed="false">
      <c r="A42" s="7" t="s">
        <v>308</v>
      </c>
      <c r="B42" s="11" t="s">
        <v>296</v>
      </c>
      <c r="C42" s="7" t="s">
        <v>309</v>
      </c>
      <c r="D42" s="7" t="s">
        <v>310</v>
      </c>
      <c r="E42" s="7" t="s">
        <v>140</v>
      </c>
      <c r="F42" s="7" t="s">
        <v>38</v>
      </c>
      <c r="G42" s="7" t="s">
        <v>17</v>
      </c>
      <c r="H42" s="7" t="s">
        <v>311</v>
      </c>
      <c r="I42" s="7" t="n">
        <v>3</v>
      </c>
      <c r="J42" s="7" t="s">
        <v>187</v>
      </c>
      <c r="K42" s="7" t="s">
        <v>312</v>
      </c>
      <c r="L42" s="7" t="s">
        <v>313</v>
      </c>
      <c r="M42" s="7" t="s">
        <v>314</v>
      </c>
      <c r="N42" s="7" t="s">
        <v>44</v>
      </c>
      <c r="O42" s="7" t="s">
        <v>89</v>
      </c>
    </row>
    <row r="43" customFormat="false" ht="35.05" hidden="false" customHeight="false" outlineLevel="0" collapsed="false">
      <c r="A43" s="7" t="s">
        <v>315</v>
      </c>
      <c r="B43" s="11" t="s">
        <v>296</v>
      </c>
      <c r="C43" s="7" t="s">
        <v>316</v>
      </c>
      <c r="D43" s="7" t="s">
        <v>317</v>
      </c>
      <c r="E43" s="7" t="s">
        <v>318</v>
      </c>
      <c r="F43" s="7" t="s">
        <v>84</v>
      </c>
      <c r="G43" s="7" t="s">
        <v>17</v>
      </c>
      <c r="H43" s="7" t="s">
        <v>85</v>
      </c>
      <c r="I43" s="7" t="n">
        <v>3</v>
      </c>
      <c r="J43" s="7" t="s">
        <v>299</v>
      </c>
      <c r="K43" s="7" t="s">
        <v>319</v>
      </c>
      <c r="L43" s="7" t="s">
        <v>320</v>
      </c>
      <c r="M43" s="7" t="s">
        <v>139</v>
      </c>
      <c r="N43" s="7" t="s">
        <v>44</v>
      </c>
      <c r="O43" s="7" t="s">
        <v>89</v>
      </c>
    </row>
    <row r="44" customFormat="false" ht="35.05" hidden="false" customHeight="false" outlineLevel="0" collapsed="false">
      <c r="A44" s="7" t="s">
        <v>321</v>
      </c>
      <c r="B44" s="11" t="s">
        <v>296</v>
      </c>
      <c r="C44" s="7" t="s">
        <v>322</v>
      </c>
      <c r="D44" s="7" t="s">
        <v>323</v>
      </c>
      <c r="E44" s="7" t="s">
        <v>285</v>
      </c>
      <c r="F44" s="7" t="s">
        <v>229</v>
      </c>
      <c r="G44" s="7" t="s">
        <v>17</v>
      </c>
      <c r="H44" s="7" t="s">
        <v>136</v>
      </c>
      <c r="I44" s="7" t="n">
        <v>8</v>
      </c>
      <c r="J44" s="7" t="s">
        <v>299</v>
      </c>
      <c r="K44" s="7" t="s">
        <v>324</v>
      </c>
      <c r="L44" s="7" t="s">
        <v>325</v>
      </c>
      <c r="M44" s="7" t="s">
        <v>152</v>
      </c>
      <c r="N44" s="7" t="s">
        <v>44</v>
      </c>
      <c r="O44" s="7" t="s">
        <v>89</v>
      </c>
    </row>
  </sheetData>
  <autoFilter ref="A1:O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2" t="s">
        <v>20</v>
      </c>
      <c r="B1" s="12" t="s">
        <v>16</v>
      </c>
      <c r="C1" s="12" t="s">
        <v>17</v>
      </c>
      <c r="D1" s="12" t="s">
        <v>326</v>
      </c>
    </row>
    <row r="2" customFormat="false" ht="15" hidden="false" customHeight="false" outlineLevel="0" collapsed="false">
      <c r="A2" s="13" t="s">
        <v>15</v>
      </c>
      <c r="B2" s="13" t="n">
        <f aca="false">COUNTIFS(Backlog!B:B,A2,Backlog!G:G,"Pre-launch")</f>
        <v>6</v>
      </c>
      <c r="C2" s="13" t="n">
        <f aca="false">COUNTIFS(Backlog!B:B,A2,Backlog!G:G,"Post-launch")</f>
        <v>0</v>
      </c>
      <c r="D2" s="13" t="n">
        <f aca="false">SUM(B2:C2)</f>
        <v>6</v>
      </c>
    </row>
    <row r="3" customFormat="false" ht="15" hidden="false" customHeight="false" outlineLevel="0" collapsed="false">
      <c r="A3" s="13" t="s">
        <v>81</v>
      </c>
      <c r="B3" s="13" t="n">
        <f aca="false">COUNTIFS(Backlog!B:B,A3,Backlog!G:G,"Pre-launch")</f>
        <v>17</v>
      </c>
      <c r="C3" s="13" t="n">
        <f aca="false">COUNTIFS(Backlog!B:B,A3,Backlog!G:G,"Post-launch")</f>
        <v>2</v>
      </c>
      <c r="D3" s="13" t="n">
        <f aca="false">SUM(B3:C3)</f>
        <v>19</v>
      </c>
    </row>
    <row r="4" customFormat="false" ht="15" hidden="false" customHeight="false" outlineLevel="0" collapsed="false">
      <c r="A4" s="13" t="s">
        <v>213</v>
      </c>
      <c r="B4" s="13" t="n">
        <f aca="false">COUNTIFS(Backlog!B:B,A4,Backlog!G:G,"Pre-launch")</f>
        <v>10</v>
      </c>
      <c r="C4" s="13" t="n">
        <f aca="false">COUNTIFS(Backlog!B:B,A4,Backlog!G:G,"Post-launch")</f>
        <v>3</v>
      </c>
      <c r="D4" s="13" t="n">
        <f aca="false">SUM(B4:C4)</f>
        <v>13</v>
      </c>
    </row>
    <row r="5" customFormat="false" ht="15" hidden="false" customHeight="false" outlineLevel="0" collapsed="false">
      <c r="A5" s="13" t="s">
        <v>296</v>
      </c>
      <c r="B5" s="13" t="n">
        <f aca="false">COUNTIFS(Backlog!B:B,A5,Backlog!G:G,"Pre-launch")</f>
        <v>0</v>
      </c>
      <c r="C5" s="13" t="n">
        <f aca="false">COUNTIFS(Backlog!B:B,A5,Backlog!G:G,"Post-launch")</f>
        <v>5</v>
      </c>
      <c r="D5" s="13" t="n">
        <f aca="false">SUM(B5:C5)</f>
        <v>5</v>
      </c>
    </row>
    <row r="6" customFormat="false" ht="15" hidden="false" customHeight="false" outlineLevel="0" collapsed="false">
      <c r="A6" s="13" t="s">
        <v>326</v>
      </c>
      <c r="B6" s="13" t="n">
        <f aca="false">SUM(B2:B5)</f>
        <v>33</v>
      </c>
      <c r="C6" s="13" t="n">
        <f aca="false">SUM(C2:C5)</f>
        <v>10</v>
      </c>
      <c r="D6" s="13" t="n">
        <f aca="false">SUM(D2:D5)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</cols>
  <sheetData>
    <row r="1" customFormat="false" ht="15" hidden="false" customHeight="false" outlineLevel="0" collapsed="false">
      <c r="A1" s="12" t="s">
        <v>27</v>
      </c>
      <c r="B1" s="12" t="s">
        <v>327</v>
      </c>
    </row>
    <row r="2" customFormat="false" ht="15" hidden="false" customHeight="false" outlineLevel="0" collapsed="false">
      <c r="A2" s="13" t="n">
        <v>1</v>
      </c>
      <c r="B2" s="13" t="n">
        <f aca="false">COUNTIF(Backlog!I:I,A2)</f>
        <v>17</v>
      </c>
    </row>
    <row r="3" customFormat="false" ht="15" hidden="false" customHeight="false" outlineLevel="0" collapsed="false">
      <c r="A3" s="13" t="n">
        <v>2</v>
      </c>
      <c r="B3" s="13" t="n">
        <f aca="false">COUNTIF(Backlog!I:I,A3)</f>
        <v>11</v>
      </c>
    </row>
    <row r="4" customFormat="false" ht="15" hidden="false" customHeight="false" outlineLevel="0" collapsed="false">
      <c r="A4" s="13" t="n">
        <v>3</v>
      </c>
      <c r="B4" s="13" t="n">
        <f aca="false">COUNTIF(Backlog!I:I,A4)</f>
        <v>6</v>
      </c>
    </row>
    <row r="5" customFormat="false" ht="15" hidden="false" customHeight="false" outlineLevel="0" collapsed="false">
      <c r="A5" s="13" t="n">
        <v>4</v>
      </c>
      <c r="B5" s="13" t="n">
        <f aca="false">COUNTIF(Backlog!I:I,A5)</f>
        <v>1</v>
      </c>
    </row>
    <row r="6" customFormat="false" ht="15" hidden="false" customHeight="false" outlineLevel="0" collapsed="false">
      <c r="A6" s="13" t="n">
        <v>5</v>
      </c>
      <c r="B6" s="13" t="n">
        <f aca="false">COUNTIF(Backlog!I:I,A6)</f>
        <v>1</v>
      </c>
    </row>
    <row r="7" customFormat="false" ht="15" hidden="false" customHeight="false" outlineLevel="0" collapsed="false">
      <c r="A7" s="13" t="n">
        <v>6</v>
      </c>
      <c r="B7" s="13" t="n">
        <f aca="false">COUNTIF(Backlog!I:I,A7)</f>
        <v>2</v>
      </c>
    </row>
    <row r="8" customFormat="false" ht="15" hidden="false" customHeight="false" outlineLevel="0" collapsed="false">
      <c r="A8" s="13" t="n">
        <v>7</v>
      </c>
      <c r="B8" s="13" t="n">
        <f aca="false">COUNTIF(Backlog!I:I,A8)</f>
        <v>3</v>
      </c>
    </row>
    <row r="9" customFormat="false" ht="15" hidden="false" customHeight="false" outlineLevel="0" collapsed="false">
      <c r="A9" s="13" t="n">
        <v>8</v>
      </c>
      <c r="B9" s="13" t="n">
        <f aca="false">COUNTIF(Backlog!I:I,A9)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2" t="s">
        <v>26</v>
      </c>
      <c r="B1" s="12" t="s">
        <v>327</v>
      </c>
    </row>
    <row r="2" customFormat="false" ht="15" hidden="false" customHeight="false" outlineLevel="0" collapsed="false">
      <c r="A2" s="13" t="s">
        <v>261</v>
      </c>
      <c r="B2" s="13" t="n">
        <f aca="false">COUNTIF(Backlog!H:H,A2)</f>
        <v>1</v>
      </c>
    </row>
    <row r="3" customFormat="false" ht="15" hidden="false" customHeight="false" outlineLevel="0" collapsed="false">
      <c r="A3" s="13" t="s">
        <v>120</v>
      </c>
      <c r="B3" s="13" t="n">
        <f aca="false">COUNTIF(Backlog!H:H,A3)</f>
        <v>1</v>
      </c>
    </row>
    <row r="4" customFormat="false" ht="15" hidden="false" customHeight="false" outlineLevel="0" collapsed="false">
      <c r="A4" s="13" t="s">
        <v>39</v>
      </c>
      <c r="B4" s="13" t="n">
        <f aca="false">COUNTIF(Backlog!H:H,A4)</f>
        <v>9</v>
      </c>
    </row>
    <row r="5" customFormat="false" ht="15" hidden="false" customHeight="false" outlineLevel="0" collapsed="false">
      <c r="A5" s="13" t="s">
        <v>85</v>
      </c>
      <c r="B5" s="13" t="n">
        <f aca="false">COUNTIF(Backlog!H:H,A5)</f>
        <v>8</v>
      </c>
    </row>
    <row r="6" customFormat="false" ht="15" hidden="false" customHeight="false" outlineLevel="0" collapsed="false">
      <c r="A6" s="13" t="s">
        <v>311</v>
      </c>
      <c r="B6" s="13" t="n">
        <f aca="false">COUNTIF(Backlog!H:H,A6)</f>
        <v>1</v>
      </c>
    </row>
    <row r="7" customFormat="false" ht="15" hidden="false" customHeight="false" outlineLevel="0" collapsed="false">
      <c r="A7" s="13" t="s">
        <v>49</v>
      </c>
      <c r="B7" s="13" t="n">
        <f aca="false">COUNTIF(Backlog!H:H,A7)</f>
        <v>16</v>
      </c>
    </row>
    <row r="8" customFormat="false" ht="15" hidden="false" customHeight="false" outlineLevel="0" collapsed="false">
      <c r="A8" s="13" t="s">
        <v>136</v>
      </c>
      <c r="B8" s="13" t="n">
        <f aca="false">COUNTIF(Backlog!H:H,A8)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2026-10-14T00:40:10Z</dcterms:created>
  <dc:creator>openpyxl</dc:creator>
  <dc:description/>
  <dc:language>en-US</dc:language>
  <cp:lastModifiedBy/>
  <dcterms:modified xsi:type="dcterms:W3CDTF">2026-10-14T00:40:10Z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