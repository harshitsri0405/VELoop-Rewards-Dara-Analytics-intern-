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KPI_Catalogue" sheetId="2" state="visible" r:id="rId4"/>
    <sheet name="Coverage_by_Area" sheetId="3" state="visible" r:id="rId5"/>
  </sheets>
  <definedNames>
    <definedName function="false" hidden="true" localSheetId="1" name="_xlnm._FilterDatabase" vbProcedure="false">KPI_Catalogue!$A$1:$N$55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<sst xmlns="http://schemas.openxmlformats.org/spreadsheetml/2006/main" count="794" uniqueCount="536">
  <si>
    <t xml:space="preserve">VELOOP REWARDS - Task 01 | Work Package I: KPI Catalogue</t>
  </si>
  <si>
    <t xml:space="preserve">Every KPI is Proposed or To Be Verified. No target is invented and no simulated or real VELOOP statistics are included.</t>
  </si>
  <si>
    <t xml:space="preserve">- Every definition is reproducible from the named fields. No KPI has a target, benchmark or expected value; none is set here.</t>
  </si>
  <si>
    <t xml:space="preserve">- Time basis: calendar days in UTC until the timezone is agreed (A012). Where a KPI can be read by period or by cohort, the formula says which.</t>
  </si>
  <si>
    <t xml:space="preserve">- Amounts are always per unit. Different reward units are never added together without an agreed conversion rule (A002).</t>
  </si>
  <si>
    <t xml:space="preserve">- Rates for recent periods rise as open items resolve. Show the unresolved share beside them.</t>
  </si>
  <si>
    <t xml:space="preserve">- Status Proposed means the definition is recommended; To Be Verified means it depends on something not yet confirmed. None is Confirmed.</t>
  </si>
  <si>
    <t xml:space="preserve">- 'Active' uses the qualifying-event list in the Referral and Engagement specification: task_completed, daily_reward_claimed, spin_completed, mission_completed, mining_claimed, withdrawal_requested.</t>
  </si>
  <si>
    <t xml:space="preserve">Live counts</t>
  </si>
  <si>
    <t xml:space="preserve">KPIs in catalogue</t>
  </si>
  <si>
    <t xml:space="preserve">Minimum required by brief</t>
  </si>
  <si>
    <t xml:space="preserve">KPIs To Be Verified</t>
  </si>
  <si>
    <t xml:space="preserve">Withdrawal KPIs</t>
  </si>
  <si>
    <t xml:space="preserve">KPI ID</t>
  </si>
  <si>
    <t xml:space="preserve">Area</t>
  </si>
  <si>
    <t xml:space="preserve">KPI Name</t>
  </si>
  <si>
    <t xml:space="preserve">Definition</t>
  </si>
  <si>
    <t xml:space="preserve">Formula</t>
  </si>
  <si>
    <t xml:space="preserve">Required Fields</t>
  </si>
  <si>
    <t xml:space="preserve">Required Events</t>
  </si>
  <si>
    <t xml:space="preserve">Data Source</t>
  </si>
  <si>
    <t xml:space="preserve">Frequency</t>
  </si>
  <si>
    <t xml:space="preserve">Stakeholder</t>
  </si>
  <si>
    <t xml:space="preserve">Business Purpose</t>
  </si>
  <si>
    <t xml:space="preserve">Interpretation</t>
  </si>
  <si>
    <t xml:space="preserve">Limitation</t>
  </si>
  <si>
    <t xml:space="preserve">Status</t>
  </si>
  <si>
    <t xml:space="preserve">U01</t>
  </si>
  <si>
    <t xml:space="preserve">User</t>
  </si>
  <si>
    <t xml:space="preserve">Registrations</t>
  </si>
  <si>
    <t xml:space="preserve">New accounts created in the period</t>
  </si>
  <si>
    <t xml:space="preserve">COUNT(user_id) where registered_at is in the period</t>
  </si>
  <si>
    <t xml:space="preserve">user_id, registered_at</t>
  </si>
  <si>
    <t xml:space="preserve">user_registered</t>
  </si>
  <si>
    <t xml:space="preserve">Users</t>
  </si>
  <si>
    <t xml:space="preserve">Daily</t>
  </si>
  <si>
    <t xml:space="preserve">Product, Marketing</t>
  </si>
  <si>
    <t xml:space="preserve">See how many people sign up and from where</t>
  </si>
  <si>
    <t xml:space="preserve">Read by registration_source and platform; compare periods of equal length</t>
  </si>
  <si>
    <t xml:space="preserve">Counts accounts, not active people; inflated if user_id is not stable (A003)</t>
  </si>
  <si>
    <t xml:space="preserve">Proposed</t>
  </si>
  <si>
    <t xml:space="preserve">U02</t>
  </si>
  <si>
    <t xml:space="preserve">Daily Active Users (DAU)</t>
  </si>
  <si>
    <t xml:space="preserve">Unique users with at least one qualifying activity event on a calendar day</t>
  </si>
  <si>
    <t xml:space="preserve">COUNT(DISTINCT user_id) with a qualifying event on the date (UTC; timezone to be agreed)</t>
  </si>
  <si>
    <t xml:space="preserve">user_id, event_name, event_timestamp</t>
  </si>
  <si>
    <t xml:space="preserve">task_completed, daily_reward_claimed, spin_completed, mission_completed, mining_claimed, withdrawal_requested</t>
  </si>
  <si>
    <t xml:space="preserve">Feature_Events</t>
  </si>
  <si>
    <t xml:space="preserve">Product, Management</t>
  </si>
  <si>
    <t xml:space="preserve">Measure daily engagement</t>
  </si>
  <si>
    <t xml:space="preserve">A rise means more users did qualifying activity; read next to Registrations</t>
  </si>
  <si>
    <t xml:space="preserve">Depends on the agreed qualifying-event list and timezone (A012); login alone does not count</t>
  </si>
  <si>
    <t xml:space="preserve">U03</t>
  </si>
  <si>
    <t xml:space="preserve">Weekly Active Users (WAU)</t>
  </si>
  <si>
    <t xml:space="preserve">Unique users with at least one qualifying event in a week</t>
  </si>
  <si>
    <t xml:space="preserve">COUNT(DISTINCT user_id) with a qualifying event in the week (week definition to be agreed)</t>
  </si>
  <si>
    <t xml:space="preserve">Weekly</t>
  </si>
  <si>
    <t xml:space="preserve">Measure weekly reach</t>
  </si>
  <si>
    <t xml:space="preserve">Compare with DAU to see how often people return within the week</t>
  </si>
  <si>
    <t xml:space="preserve">Week boundaries must be fixed and documented</t>
  </si>
  <si>
    <t xml:space="preserve">U04</t>
  </si>
  <si>
    <t xml:space="preserve">Monthly Active Users (MAU)</t>
  </si>
  <si>
    <t xml:space="preserve">Unique users with at least one qualifying event in a calendar month</t>
  </si>
  <si>
    <t xml:space="preserve">COUNT(DISTINCT user_id) with a qualifying event in the month</t>
  </si>
  <si>
    <t xml:space="preserve">Monthly</t>
  </si>
  <si>
    <t xml:space="preserve">Measure monthly reach</t>
  </si>
  <si>
    <t xml:space="preserve">Use as the base for ratios such as DAU / MAU</t>
  </si>
  <si>
    <t xml:space="preserve">Same qualifying list as DAU; month length varies</t>
  </si>
  <si>
    <t xml:space="preserve">U05</t>
  </si>
  <si>
    <t xml:space="preserve">Returning Users</t>
  </si>
  <si>
    <t xml:space="preserve">Active users in the period whose first qualifying activity was before the period started</t>
  </si>
  <si>
    <t xml:space="preserve">COUNT(DISTINCT user_id) active in the period AND first_activity_at &lt; period start</t>
  </si>
  <si>
    <t xml:space="preserve">user_id, first_activity_at, event_timestamp</t>
  </si>
  <si>
    <t xml:space="preserve">Users, Feature_Events</t>
  </si>
  <si>
    <t xml:space="preserve">Product</t>
  </si>
  <si>
    <t xml:space="preserve">Separate returning from new activity</t>
  </si>
  <si>
    <t xml:space="preserve">Read with new active users; shows repeat behaviour, not growth</t>
  </si>
  <si>
    <t xml:space="preserve">Needs stable user_id and first_activity_at</t>
  </si>
  <si>
    <t xml:space="preserve">U06</t>
  </si>
  <si>
    <t xml:space="preserve">Inactive Users</t>
  </si>
  <si>
    <t xml:space="preserve">Registered, non-closed users with no qualifying activity in the inactivity window</t>
  </si>
  <si>
    <t xml:space="preserve">COUNT(user_id) where account_status is not closed AND last_activity_at is older than N days (N to be agreed)</t>
  </si>
  <si>
    <t xml:space="preserve">user_id, account_status, last_activity_at</t>
  </si>
  <si>
    <t xml:space="preserve">(none; derived from tables)</t>
  </si>
  <si>
    <t xml:space="preserve">Product, Operations</t>
  </si>
  <si>
    <t xml:space="preserve">Size the lapsed user base</t>
  </si>
  <si>
    <t xml:space="preserve">Read as a share of registered users; record N because changing it changes the number</t>
  </si>
  <si>
    <t xml:space="preserve">N is not set here; users who never became active count as inactive unless filtered</t>
  </si>
  <si>
    <t xml:space="preserve">To Be Verified</t>
  </si>
  <si>
    <t xml:space="preserve">U07</t>
  </si>
  <si>
    <t xml:space="preserve">Onboarding Completion Rate</t>
  </si>
  <si>
    <t xml:space="preserve">Share of users who started onboarding and completed it</t>
  </si>
  <si>
    <t xml:space="preserve">COUNT(users with onboarding_completed) / COUNT(users with onboarding_started), for users registered in the period</t>
  </si>
  <si>
    <t xml:space="preserve">user_id, onboarding_status, onboarding_started_at, onboarding_completed_at</t>
  </si>
  <si>
    <t xml:space="preserve">onboarding_started, onboarding_completed</t>
  </si>
  <si>
    <t xml:space="preserve">Find where new users drop off</t>
  </si>
  <si>
    <t xml:space="preserve">Low values point to friction; use onboarding_step to locate it</t>
  </si>
  <si>
    <t xml:space="preserve">Recent cohorts are incomplete; treatment of 'skipped' must be agreed</t>
  </si>
  <si>
    <t xml:space="preserve">U08</t>
  </si>
  <si>
    <t xml:space="preserve">Cohort Retention (Day N)</t>
  </si>
  <si>
    <t xml:space="preserve">Share of a registration cohort active again N days after registering</t>
  </si>
  <si>
    <t xml:space="preserve">COUNT(cohort users active on day N) / COUNT(cohort users)</t>
  </si>
  <si>
    <t xml:space="preserve">user_id, registered_at, event_timestamp</t>
  </si>
  <si>
    <t xml:space="preserve">task_completed, daily_reward_claimed, spin_completed, mission_completed, mining_claimed, withdrawal_requested, user_registered</t>
  </si>
  <si>
    <t xml:space="preserve">Learn whether users come back</t>
  </si>
  <si>
    <t xml:space="preserve">Compare cohorts at the same N; a fall across cohorts is a signal to investigate</t>
  </si>
  <si>
    <t xml:space="preserve">N values to be agreed; needs stable user_id; recent cohorts are incomplete</t>
  </si>
  <si>
    <t xml:space="preserve">U09</t>
  </si>
  <si>
    <t xml:space="preserve">Account Status Mix</t>
  </si>
  <si>
    <t xml:space="preserve">Number of accounts in each account_status at a point in time</t>
  </si>
  <si>
    <t xml:space="preserve">COUNT(user_id) grouped by account_status (snapshot)</t>
  </si>
  <si>
    <t xml:space="preserve">user_id, account_status</t>
  </si>
  <si>
    <t xml:space="preserve">account_status_changed</t>
  </si>
  <si>
    <t xml:space="preserve">Users, Account_Status_History</t>
  </si>
  <si>
    <t xml:space="preserve">Operations, Product</t>
  </si>
  <si>
    <t xml:space="preserve">Track restricted and closed accounts</t>
  </si>
  <si>
    <t xml:space="preserve">Watch movement between statuses over time</t>
  </si>
  <si>
    <t xml:space="preserve">Real status names need mapping (A019); trend needs saved snapshots</t>
  </si>
  <si>
    <t xml:space="preserve">U10</t>
  </si>
  <si>
    <t xml:space="preserve">Daily Visitors</t>
  </si>
  <si>
    <t xml:space="preserve">Unique users with at least one login on a calendar day</t>
  </si>
  <si>
    <t xml:space="preserve">COUNT(DISTINCT user_id) with user_logged_in on the date</t>
  </si>
  <si>
    <t xml:space="preserve">user_logged_in</t>
  </si>
  <si>
    <t xml:space="preserve">Show app opens separately from real activity</t>
  </si>
  <si>
    <t xml:space="preserve">Compare with DAU; a gap means visits without qualifying activity</t>
  </si>
  <si>
    <t xml:space="preserve">Login events may be absent for auto-login sessions (A004)</t>
  </si>
  <si>
    <t xml:space="preserve">E01</t>
  </si>
  <si>
    <t xml:space="preserve">Engagement</t>
  </si>
  <si>
    <t xml:space="preserve">Feature Usage</t>
  </si>
  <si>
    <t xml:space="preserve">Unique users who used a feature in the period</t>
  </si>
  <si>
    <t xml:space="preserve">COUNT(DISTINCT user_id) with the feature's start event, per feature</t>
  </si>
  <si>
    <t xml:space="preserve">user_id, feature, event_name</t>
  </si>
  <si>
    <t xml:space="preserve">task_started, spin_started, mission_started, mining_started, feature_opened</t>
  </si>
  <si>
    <t xml:space="preserve">Compare feature reach</t>
  </si>
  <si>
    <t xml:space="preserve">Compare features over the same period; no feature is good or bad by this alone</t>
  </si>
  <si>
    <t xml:space="preserve">Features with no start event need feature_opened (name to be agreed)</t>
  </si>
  <si>
    <t xml:space="preserve">E02</t>
  </si>
  <si>
    <t xml:space="preserve">Feature Adoption Rate</t>
  </si>
  <si>
    <t xml:space="preserve">Share of active users who used a feature</t>
  </si>
  <si>
    <t xml:space="preserve">Users of the feature / active users in the same period</t>
  </si>
  <si>
    <t xml:space="preserve">task_started, spin_started, mission_started, mining_started, feature_opened, task_completed, daily_reward_claimed, spin_completed, mission_completed, mining_claimed, withdrawal_requested</t>
  </si>
  <si>
    <t xml:space="preserve">See how widely a feature is taken up</t>
  </si>
  <si>
    <t xml:space="preserve">Keep one denominator (active users in the period) for all features</t>
  </si>
  <si>
    <t xml:space="preserve">Denominator choice changes the number</t>
  </si>
  <si>
    <t xml:space="preserve">E03</t>
  </si>
  <si>
    <t xml:space="preserve">Task Starts</t>
  </si>
  <si>
    <t xml:space="preserve">Task attempts begun</t>
  </si>
  <si>
    <t xml:space="preserve">COUNT(task_activity_id) with task_started in the period</t>
  </si>
  <si>
    <t xml:space="preserve">task_activity_id, started_at</t>
  </si>
  <si>
    <t xml:space="preserve">task_started</t>
  </si>
  <si>
    <t xml:space="preserve">Task_Activity</t>
  </si>
  <si>
    <t xml:space="preserve">Volume of earning attempts</t>
  </si>
  <si>
    <t xml:space="preserve">Read by task_type and feature</t>
  </si>
  <si>
    <t xml:space="preserve">Counts attempts, not users</t>
  </si>
  <si>
    <t xml:space="preserve">E04</t>
  </si>
  <si>
    <t xml:space="preserve">Task Completions</t>
  </si>
  <si>
    <t xml:space="preserve">Task attempts validated as completed</t>
  </si>
  <si>
    <t xml:space="preserve">COUNT(task_activity_id) with task_completed in the period (by completed_at)</t>
  </si>
  <si>
    <t xml:space="preserve">task_activity_id, completed_at, status</t>
  </si>
  <si>
    <t xml:space="preserve">task_completed</t>
  </si>
  <si>
    <t xml:space="preserve">Count real completions</t>
  </si>
  <si>
    <t xml:space="preserve">Counts validated completions only</t>
  </si>
  <si>
    <t xml:space="preserve">Late validation moves completions into later periods</t>
  </si>
  <si>
    <t xml:space="preserve">E05</t>
  </si>
  <si>
    <t xml:space="preserve">Task Completion Rate</t>
  </si>
  <si>
    <t xml:space="preserve">Share of started attempts that ended validated</t>
  </si>
  <si>
    <t xml:space="preserve">Validated attempts / started attempts, for attempts started in the period</t>
  </si>
  <si>
    <t xml:space="preserve">task_activity_id, started_at, status</t>
  </si>
  <si>
    <t xml:space="preserve">task_started, task_completed</t>
  </si>
  <si>
    <t xml:space="preserve">See how often attempts succeed</t>
  </si>
  <si>
    <t xml:space="preserve">Recent periods look low until attempts resolve; show the unresolved share beside it</t>
  </si>
  <si>
    <t xml:space="preserve">Attempts pending validation lower recent values</t>
  </si>
  <si>
    <t xml:space="preserve">E06</t>
  </si>
  <si>
    <t xml:space="preserve">Task Failure Mix</t>
  </si>
  <si>
    <t xml:space="preserve">Share of failed or abandoned attempts by failure_category</t>
  </si>
  <si>
    <t xml:space="preserve">COUNT(failed attempts) grouped by failure_category / COUNT(failed attempts)</t>
  </si>
  <si>
    <t xml:space="preserve">task_activity_id, status, failure_category</t>
  </si>
  <si>
    <t xml:space="preserve">task_failed</t>
  </si>
  <si>
    <t xml:space="preserve">Product, Engineering</t>
  </si>
  <si>
    <t xml:space="preserve">Explain why attempts fail</t>
  </si>
  <si>
    <t xml:space="preserve">Shifts between categories show where to look (provider, system, user)</t>
  </si>
  <si>
    <t xml:space="preserve">Categories are a proposed classification; the 'unknown' share shows data quality</t>
  </si>
  <si>
    <t xml:space="preserve">E07</t>
  </si>
  <si>
    <t xml:space="preserve">Repeat Usage Rate</t>
  </si>
  <si>
    <t xml:space="preserve">Share of feature users who use it on 2 or more distinct days in a window</t>
  </si>
  <si>
    <t xml:space="preserve">Users with the feature on at least 2 distinct days / users with it on at least 1 day</t>
  </si>
  <si>
    <t xml:space="preserve">user_id, feature, event date</t>
  </si>
  <si>
    <t xml:space="preserve">task_started, spin_started, mission_started, mining_started</t>
  </si>
  <si>
    <t xml:space="preserve">See habit formation</t>
  </si>
  <si>
    <t xml:space="preserve">Compare features over equal windows</t>
  </si>
  <si>
    <t xml:space="preserve">Window length to be agreed</t>
  </si>
  <si>
    <t xml:space="preserve">E08</t>
  </si>
  <si>
    <t xml:space="preserve">Mission Completion Rate</t>
  </si>
  <si>
    <t xml:space="preserve">Share of started missions that were completed</t>
  </si>
  <si>
    <t xml:space="preserve">Missions completed / missions started (per mission attempt)</t>
  </si>
  <si>
    <t xml:space="preserve">user_id, mission_id, event_name</t>
  </si>
  <si>
    <t xml:space="preserve">mission_started, mission_completed</t>
  </si>
  <si>
    <t xml:space="preserve">See which missions get finished</t>
  </si>
  <si>
    <t xml:space="preserve">Compare by mission_type</t>
  </si>
  <si>
    <t xml:space="preserve">Needs a mission attempt key; missions without a start event are excluded</t>
  </si>
  <si>
    <t xml:space="preserve">E09</t>
  </si>
  <si>
    <t xml:space="preserve">Streak Length</t>
  </si>
  <si>
    <t xml:space="preserve">Typical current streak among users who have one</t>
  </si>
  <si>
    <t xml:space="preserve">Median(streak_count) among users with streak_count &gt;= 1 at the snapshot</t>
  </si>
  <si>
    <t xml:space="preserve">user_id, streak_count, change_type</t>
  </si>
  <si>
    <t xml:space="preserve">streak_updated, daily_reward_claimed</t>
  </si>
  <si>
    <t xml:space="preserve">See how long daily habits last</t>
  </si>
  <si>
    <t xml:space="preserve">Read with the share of streak resets</t>
  </si>
  <si>
    <t xml:space="preserve">Needs the latest streak per user</t>
  </si>
  <si>
    <t xml:space="preserve">E10</t>
  </si>
  <si>
    <t xml:space="preserve">Task Open Rate</t>
  </si>
  <si>
    <t xml:space="preserve">Share of viewed tasks that were opened</t>
  </si>
  <si>
    <t xml:space="preserve">Distinct (user, task) opened / distinct (user, task) viewed</t>
  </si>
  <si>
    <t xml:space="preserve">user_id, task_id, event_name</t>
  </si>
  <si>
    <t xml:space="preserve">task_viewed, task_opened</t>
  </si>
  <si>
    <t xml:space="preserve">Measure interest in tasks</t>
  </si>
  <si>
    <t xml:space="preserve">Compare by task_type</t>
  </si>
  <si>
    <t xml:space="preserve">task_viewed may be sampled; the definition of 'viewed' matters</t>
  </si>
  <si>
    <t xml:space="preserve">R01</t>
  </si>
  <si>
    <t xml:space="preserve">Reward</t>
  </si>
  <si>
    <t xml:space="preserve">Reward Transactions</t>
  </si>
  <si>
    <t xml:space="preserve">Rewards with any reward event in the period</t>
  </si>
  <si>
    <t xml:space="preserve">COUNT(DISTINCT reward_id) with reward_pending, reward_credited, reward_reversed or reward_corrected in the period</t>
  </si>
  <si>
    <t xml:space="preserve">reward_id, event_name</t>
  </si>
  <si>
    <t xml:space="preserve">reward_pending, reward_credited, reward_reversed, reward_corrected</t>
  </si>
  <si>
    <t xml:space="preserve">Rewards</t>
  </si>
  <si>
    <t xml:space="preserve">Operations, Finance</t>
  </si>
  <si>
    <t xml:space="preserve">See overall reward activity</t>
  </si>
  <si>
    <t xml:space="preserve">Includes pending and reversed; use Reward Credits for rewards actually given</t>
  </si>
  <si>
    <t xml:space="preserve">Counts records, not amounts</t>
  </si>
  <si>
    <t xml:space="preserve">R02</t>
  </si>
  <si>
    <t xml:space="preserve">Reward Credits</t>
  </si>
  <si>
    <t xml:space="preserve">Rewards actually added to the wallet, count and amount per unit</t>
  </si>
  <si>
    <t xml:space="preserve">COUNT(reward_id) and SUM(reward_amount) with reward_credited in the period, grouped by reward_unit</t>
  </si>
  <si>
    <t xml:space="preserve">reward_id, reward_amount, reward_unit, credited_at</t>
  </si>
  <si>
    <t xml:space="preserve">reward_credited</t>
  </si>
  <si>
    <t xml:space="preserve">Finance, Product</t>
  </si>
  <si>
    <t xml:space="preserve">Measure rewards given</t>
  </si>
  <si>
    <t xml:space="preserve">Never add amounts across units (A002)</t>
  </si>
  <si>
    <t xml:space="preserve">Amounts depend on unit definitions</t>
  </si>
  <si>
    <t xml:space="preserve">R03</t>
  </si>
  <si>
    <t xml:space="preserve">Reward Reversals</t>
  </si>
  <si>
    <t xml:space="preserve">Credited rewards that were reversed</t>
  </si>
  <si>
    <t xml:space="preserve">COUNT(reward_id) with reward_reversed in the period (by reversed_at)</t>
  </si>
  <si>
    <t xml:space="preserve">reward_id, reversed_at, reason_category</t>
  </si>
  <si>
    <t xml:space="preserve">reward_reversed</t>
  </si>
  <si>
    <t xml:space="preserve">Track rewards taken back</t>
  </si>
  <si>
    <t xml:space="preserve">Read by reason_category</t>
  </si>
  <si>
    <t xml:space="preserve">Reversals can happen long after crediting</t>
  </si>
  <si>
    <t xml:space="preserve">R04</t>
  </si>
  <si>
    <t xml:space="preserve">Reward Reversal Rate</t>
  </si>
  <si>
    <t xml:space="preserve">Share of credited rewards later reversed</t>
  </si>
  <si>
    <t xml:space="preserve">Reversed rewards / credited rewards, for rewards credited in the period</t>
  </si>
  <si>
    <t xml:space="preserve">reward_id, credited_at, reward_status</t>
  </si>
  <si>
    <t xml:space="preserve">reward_credited, reward_reversed</t>
  </si>
  <si>
    <t xml:space="preserve">Judge how reliable credits are</t>
  </si>
  <si>
    <t xml:space="preserve">Recent periods understate it until reversals arrive</t>
  </si>
  <si>
    <t xml:space="preserve">Matures over time</t>
  </si>
  <si>
    <t xml:space="preserve">R05</t>
  </si>
  <si>
    <t xml:space="preserve">Reward Activity by Feature</t>
  </si>
  <si>
    <t xml:space="preserve">Credits split by source_feature</t>
  </si>
  <si>
    <t xml:space="preserve">COUNT and SUM of credited rewards grouped by source_feature and reward_unit</t>
  </si>
  <si>
    <t xml:space="preserve">source_feature, reward_amount, reward_unit</t>
  </si>
  <si>
    <t xml:space="preserve">Product, Finance</t>
  </si>
  <si>
    <t xml:space="preserve">See which features pay out</t>
  </si>
  <si>
    <t xml:space="preserve">Compare shares across features</t>
  </si>
  <si>
    <t xml:space="preserve">Different reward designs and units limit comparison</t>
  </si>
  <si>
    <t xml:space="preserve">R06</t>
  </si>
  <si>
    <t xml:space="preserve">Pending Rewards</t>
  </si>
  <si>
    <t xml:space="preserve">Rewards waiting at a point in time</t>
  </si>
  <si>
    <t xml:space="preserve">COUNT(reward_id) where reward_status = pending at the snapshot, with median age</t>
  </si>
  <si>
    <t xml:space="preserve">reward_id, reward_status, created_at</t>
  </si>
  <si>
    <t xml:space="preserve">reward_pending, reward_credited, reward_rejected</t>
  </si>
  <si>
    <t xml:space="preserve">Daily snapshot</t>
  </si>
  <si>
    <t xml:space="preserve">Operations</t>
  </si>
  <si>
    <t xml:space="preserve">Spot backlogs</t>
  </si>
  <si>
    <t xml:space="preserve">Growing age signals a stuck validation</t>
  </si>
  <si>
    <t xml:space="preserve">Needs the pending state to exist (A020)</t>
  </si>
  <si>
    <t xml:space="preserve">R07</t>
  </si>
  <si>
    <t xml:space="preserve">Net Reward Amount</t>
  </si>
  <si>
    <t xml:space="preserve">Amount earned after reversals and corrections, per unit</t>
  </si>
  <si>
    <t xml:space="preserve">SUM(credited) - SUM(reversed) + SUM(new_amount - old_amount of corrections), per unit</t>
  </si>
  <si>
    <t xml:space="preserve">reward_amount, reward_unit, old_amount, new_amount</t>
  </si>
  <si>
    <t xml:space="preserve">reward_credited, reward_reversed, reward_corrected</t>
  </si>
  <si>
    <t xml:space="preserve">Finance</t>
  </si>
  <si>
    <t xml:space="preserve">Know the true amount earned</t>
  </si>
  <si>
    <t xml:space="preserve">Use for totals instead of gross credits</t>
  </si>
  <si>
    <t xml:space="preserve">Needs corrections recorded as old and new amounts</t>
  </si>
  <si>
    <t xml:space="preserve">W01</t>
  </si>
  <si>
    <t xml:space="preserve">Wallet</t>
  </si>
  <si>
    <t xml:space="preserve">Wallet Transactions</t>
  </si>
  <si>
    <t xml:space="preserve">Completed ledger entries in the period</t>
  </si>
  <si>
    <t xml:space="preserve">COUNT(transaction_id) with status = completed and completed_at in the period, by transaction_type</t>
  </si>
  <si>
    <t xml:space="preserve">transaction_id, transaction_type, status, completed_at</t>
  </si>
  <si>
    <t xml:space="preserve">wallet_transaction_created, wallet_transaction_completed</t>
  </si>
  <si>
    <t xml:space="preserve">Wallet_Transactions</t>
  </si>
  <si>
    <t xml:space="preserve">Finance, Engineering</t>
  </si>
  <si>
    <t xml:space="preserve">See ledger activity</t>
  </si>
  <si>
    <t xml:space="preserve">Read by transaction_type</t>
  </si>
  <si>
    <t xml:space="preserve">Counts entries not value; an exchange makes two entries</t>
  </si>
  <si>
    <t xml:space="preserve">W02</t>
  </si>
  <si>
    <t xml:space="preserve">Credit Volume</t>
  </si>
  <si>
    <t xml:space="preserve">Total amount credited to wallets</t>
  </si>
  <si>
    <t xml:space="preserve">SUM(amount) where direction = credit and status = completed, per unit</t>
  </si>
  <si>
    <t xml:space="preserve">amount, unit, direction, status</t>
  </si>
  <si>
    <t xml:space="preserve">wallet_transaction_completed</t>
  </si>
  <si>
    <t xml:space="preserve">See value flowing in</t>
  </si>
  <si>
    <t xml:space="preserve">Per unit only</t>
  </si>
  <si>
    <t xml:space="preserve">Includes reversal credits unless excluded; label which</t>
  </si>
  <si>
    <t xml:space="preserve">W03</t>
  </si>
  <si>
    <t xml:space="preserve">Redemption Activity</t>
  </si>
  <si>
    <t xml:space="preserve">Redemption entries, count and amount per unit</t>
  </si>
  <si>
    <t xml:space="preserve">COUNT and SUM(amount) where transaction_type = redemption and status = completed</t>
  </si>
  <si>
    <t xml:space="preserve">transaction_type, amount, unit</t>
  </si>
  <si>
    <t xml:space="preserve">Track use of value inside VELOOP</t>
  </si>
  <si>
    <t xml:space="preserve">A redemption record is not confirmed to exist</t>
  </si>
  <si>
    <t xml:space="preserve">W04</t>
  </si>
  <si>
    <t xml:space="preserve">Wallet Reversals</t>
  </si>
  <si>
    <t xml:space="preserve">Reversal entries, count and share of completed entries</t>
  </si>
  <si>
    <t xml:space="preserve">COUNT(transaction_id) where transaction_type = reversal; share = reversals / completed entries</t>
  </si>
  <si>
    <t xml:space="preserve">transaction_type, related_transaction_id</t>
  </si>
  <si>
    <t xml:space="preserve">wallet_transaction_reversed</t>
  </si>
  <si>
    <t xml:space="preserve">Finance, Operations</t>
  </si>
  <si>
    <t xml:space="preserve">Spot corrections to the ledger</t>
  </si>
  <si>
    <t xml:space="preserve">Late reversals move between periods</t>
  </si>
  <si>
    <t xml:space="preserve">W05</t>
  </si>
  <si>
    <t xml:space="preserve">Exchange Activity</t>
  </si>
  <si>
    <t xml:space="preserve">Exchanges completed, per unit pair</t>
  </si>
  <si>
    <t xml:space="preserve">COUNT(exchange_group_id) with a completed exchange, grouped by from_unit and to_unit</t>
  </si>
  <si>
    <t xml:space="preserve">exchange_group_id, from_unit, to_unit, from_amount, to_amount</t>
  </si>
  <si>
    <t xml:space="preserve">wallet_exchange_completed</t>
  </si>
  <si>
    <t xml:space="preserve">See how exchange is used</t>
  </si>
  <si>
    <t xml:space="preserve">Per unit pair</t>
  </si>
  <si>
    <t xml:space="preserve">Exchange may not exist yet (A002)</t>
  </si>
  <si>
    <t xml:space="preserve">D01</t>
  </si>
  <si>
    <t xml:space="preserve">Withdrawal</t>
  </si>
  <si>
    <t xml:space="preserve">Withdrawal Requests</t>
  </si>
  <si>
    <t xml:space="preserve">Withdrawal requests made in the period</t>
  </si>
  <si>
    <t xml:space="preserve">COUNT(withdrawal_id) where requested_at is in the period</t>
  </si>
  <si>
    <t xml:space="preserve">withdrawal_id, requested_at</t>
  </si>
  <si>
    <t xml:space="preserve">withdrawal_requested</t>
  </si>
  <si>
    <t xml:space="preserve">Withdrawals</t>
  </si>
  <si>
    <t xml:space="preserve">See demand for withdrawal</t>
  </si>
  <si>
    <t xml:space="preserve">Read by method; compare equal periods</t>
  </si>
  <si>
    <t xml:space="preserve">Counts requests, not unique users</t>
  </si>
  <si>
    <t xml:space="preserve">D02</t>
  </si>
  <si>
    <t xml:space="preserve">Completed Withdrawals</t>
  </si>
  <si>
    <t xml:space="preserve">Withdrawals that reached completed in the period</t>
  </si>
  <si>
    <t xml:space="preserve">COUNT(withdrawal_id) where status = completed and final_at is in the period</t>
  </si>
  <si>
    <t xml:space="preserve">withdrawal_id, status, final_at</t>
  </si>
  <si>
    <t xml:space="preserve">withdrawal_completed</t>
  </si>
  <si>
    <t xml:space="preserve">See payout output</t>
  </si>
  <si>
    <t xml:space="preserve">Period is by completion date</t>
  </si>
  <si>
    <t xml:space="preserve">Later reversals are not netted unless stated</t>
  </si>
  <si>
    <t xml:space="preserve">D03</t>
  </si>
  <si>
    <t xml:space="preserve">Pending Withdrawals</t>
  </si>
  <si>
    <t xml:space="preserve">Requests not in a terminal status at the measurement time</t>
  </si>
  <si>
    <t xml:space="preserve">COUNT(withdrawal_id) where status is requested or processing</t>
  </si>
  <si>
    <t xml:space="preserve">withdrawal_id, status</t>
  </si>
  <si>
    <t xml:space="preserve">withdrawal_requested, withdrawal_processing, withdrawal_completed, withdrawal_rejected, withdrawal_cancelled</t>
  </si>
  <si>
    <t xml:space="preserve">See workload and backlog</t>
  </si>
  <si>
    <t xml:space="preserve">Read with Pending Queue Age</t>
  </si>
  <si>
    <t xml:space="preserve">A point-in-time number; needs snapshots to trend</t>
  </si>
  <si>
    <t xml:space="preserve">D04</t>
  </si>
  <si>
    <t xml:space="preserve">Rejected Withdrawals</t>
  </si>
  <si>
    <t xml:space="preserve">Requests that ended rejected in the period</t>
  </si>
  <si>
    <t xml:space="preserve">COUNT(withdrawal_id) where status = rejected and final_at is in the period</t>
  </si>
  <si>
    <t xml:space="preserve">withdrawal_id, status, final_at, reason_category</t>
  </si>
  <si>
    <t xml:space="preserve">withdrawal_rejected</t>
  </si>
  <si>
    <t xml:space="preserve">See friction and issues</t>
  </si>
  <si>
    <t xml:space="preserve">Quality depends on reason_category being filled</t>
  </si>
  <si>
    <t xml:space="preserve">D05</t>
  </si>
  <si>
    <t xml:space="preserve">Reversed Withdrawals</t>
  </si>
  <si>
    <t xml:space="preserve">Completed withdrawals later reversed</t>
  </si>
  <si>
    <t xml:space="preserve">COUNT(withdrawal_id) where status = reversed and reversed_at is in the period</t>
  </si>
  <si>
    <t xml:space="preserve">withdrawal_id, status, reversed_at, reason_category</t>
  </si>
  <si>
    <t xml:space="preserve">withdrawal_reversed</t>
  </si>
  <si>
    <t xml:space="preserve">Judge payout reliability</t>
  </si>
  <si>
    <t xml:space="preserve">Reversals can come long after completion</t>
  </si>
  <si>
    <t xml:space="preserve">D06</t>
  </si>
  <si>
    <t xml:space="preserve">Processing Time</t>
  </si>
  <si>
    <t xml:space="preserve">Time from request to a terminal status</t>
  </si>
  <si>
    <t xml:space="preserve">Median and 90th percentile of (final_at - requested_at) for terminal withdrawals</t>
  </si>
  <si>
    <t xml:space="preserve">requested_at, final_at, status</t>
  </si>
  <si>
    <t xml:space="preserve">withdrawal_requested, withdrawal_completed, withdrawal_rejected</t>
  </si>
  <si>
    <t xml:space="preserve">Measure speed of service</t>
  </si>
  <si>
    <t xml:space="preserve">Read together with Pending Queue Age</t>
  </si>
  <si>
    <t xml:space="preserve">Excludes pending requests, so it can look better than reality</t>
  </si>
  <si>
    <t xml:space="preserve">D07</t>
  </si>
  <si>
    <t xml:space="preserve">Withdrawal Completion Rate</t>
  </si>
  <si>
    <t xml:space="preserve">Share of requests from a period that ended completed</t>
  </si>
  <si>
    <t xml:space="preserve">Completed / requests for requests made in the period, plus a resolved-only version excluding pending</t>
  </si>
  <si>
    <t xml:space="preserve">withdrawal_id, requested_at, status</t>
  </si>
  <si>
    <t xml:space="preserve">withdrawal_requested, withdrawal_completed, withdrawal_cancelled</t>
  </si>
  <si>
    <t xml:space="preserve">Judge reliability of getting paid</t>
  </si>
  <si>
    <t xml:space="preserve">Always show the pending share beside it</t>
  </si>
  <si>
    <t xml:space="preserve">Recent periods look low until requests resolve</t>
  </si>
  <si>
    <t xml:space="preserve">D08</t>
  </si>
  <si>
    <t xml:space="preserve">Pending Queue Age</t>
  </si>
  <si>
    <t xml:space="preserve">How long pending requests have waited</t>
  </si>
  <si>
    <t xml:space="preserve">Median and maximum of (now - requested_at) for pending requests</t>
  </si>
  <si>
    <t xml:space="preserve">withdrawal_requested, withdrawal_processing</t>
  </si>
  <si>
    <t xml:space="preserve">Spot stuck requests</t>
  </si>
  <si>
    <t xml:space="preserve">A growing maximum signals stuck requests</t>
  </si>
  <si>
    <t xml:space="preserve">Needs a defined 'now' and one timezone</t>
  </si>
  <si>
    <t xml:space="preserve">D09</t>
  </si>
  <si>
    <t xml:space="preserve">Withdrawal Volume</t>
  </si>
  <si>
    <t xml:space="preserve">Amount requested and completed, per unit</t>
  </si>
  <si>
    <t xml:space="preserve">SUM(requested_amount) and SUM(completed_amount) grouped by requested_unit and period</t>
  </si>
  <si>
    <t xml:space="preserve">requested_amount, completed_amount, requested_unit</t>
  </si>
  <si>
    <t xml:space="preserve">withdrawal_requested, withdrawal_completed</t>
  </si>
  <si>
    <t xml:space="preserve">Finance, Management</t>
  </si>
  <si>
    <t xml:space="preserve">See size of payouts</t>
  </si>
  <si>
    <t xml:space="preserve">Different units are never added without a conversion rule (A002)</t>
  </si>
  <si>
    <t xml:space="preserve">D10</t>
  </si>
  <si>
    <t xml:space="preserve">Withdrawal Method Distribution</t>
  </si>
  <si>
    <t xml:space="preserve">Share of requests and completions by method</t>
  </si>
  <si>
    <t xml:space="preserve">COUNT(withdrawal_id) grouped by method / total COUNT</t>
  </si>
  <si>
    <t xml:space="preserve">method, withdrawal_id, status</t>
  </si>
  <si>
    <t xml:space="preserve">See which methods users choose</t>
  </si>
  <si>
    <t xml:space="preserve">Compare requests with completions per method</t>
  </si>
  <si>
    <t xml:space="preserve">Depends on the real list of methods (A006)</t>
  </si>
  <si>
    <t xml:space="preserve">F01</t>
  </si>
  <si>
    <t xml:space="preserve">Referral</t>
  </si>
  <si>
    <t xml:space="preserve">Referrals Created</t>
  </si>
  <si>
    <t xml:space="preserve">Referrals created in the period</t>
  </si>
  <si>
    <t xml:space="preserve">COUNT(referral_id) by created_at</t>
  </si>
  <si>
    <t xml:space="preserve">referral_id, created_at</t>
  </si>
  <si>
    <t xml:space="preserve">referral_created</t>
  </si>
  <si>
    <t xml:space="preserve">Referrals</t>
  </si>
  <si>
    <t xml:space="preserve">See referral programme use</t>
  </si>
  <si>
    <t xml:space="preserve">Read by source_channel</t>
  </si>
  <si>
    <t xml:space="preserve">Counts relationships, not unique referrers</t>
  </si>
  <si>
    <t xml:space="preserve">F02</t>
  </si>
  <si>
    <t xml:space="preserve">Referral Registrations</t>
  </si>
  <si>
    <t xml:space="preserve">Referred users who registered</t>
  </si>
  <si>
    <t xml:space="preserve">COUNT(referral_id) where registered_at is in the period</t>
  </si>
  <si>
    <t xml:space="preserve">referral_id, registered_at</t>
  </si>
  <si>
    <t xml:space="preserve">referral_registered</t>
  </si>
  <si>
    <t xml:space="preserve">See sign-ups driven by referrals</t>
  </si>
  <si>
    <t xml:space="preserve">Registration is not conversion</t>
  </si>
  <si>
    <t xml:space="preserve">Depends on referral code capture at sign-up</t>
  </si>
  <si>
    <t xml:space="preserve">F03</t>
  </si>
  <si>
    <t xml:space="preserve">Referral Activations</t>
  </si>
  <si>
    <t xml:space="preserve">Referred users who became activated</t>
  </si>
  <si>
    <t xml:space="preserve">COUNT(referral_id) where activated_at is in the period</t>
  </si>
  <si>
    <t xml:space="preserve">referral_id, activated_at</t>
  </si>
  <si>
    <t xml:space="preserve">referral_activated</t>
  </si>
  <si>
    <t xml:space="preserve">See quality of referred users</t>
  </si>
  <si>
    <t xml:space="preserve">Depends on the agreed activation rule</t>
  </si>
  <si>
    <t xml:space="preserve">Activation definition not yet agreed (A010)</t>
  </si>
  <si>
    <t xml:space="preserve">F04</t>
  </si>
  <si>
    <t xml:space="preserve">Referral Conversions</t>
  </si>
  <si>
    <t xml:space="preserve">Referrals that met the success condition</t>
  </si>
  <si>
    <t xml:space="preserve">COUNT(referral_id) where converted_at is in the period</t>
  </si>
  <si>
    <t xml:space="preserve">referral_id, converted_at</t>
  </si>
  <si>
    <t xml:space="preserve">referral_converted</t>
  </si>
  <si>
    <t xml:space="preserve">See true referral success</t>
  </si>
  <si>
    <t xml:space="preserve">Label whether period is by conversion date or by cohort</t>
  </si>
  <si>
    <t xml:space="preserve">Success condition not yet confirmed</t>
  </si>
  <si>
    <t xml:space="preserve">F05</t>
  </si>
  <si>
    <t xml:space="preserve">Referral Activation Rate</t>
  </si>
  <si>
    <t xml:space="preserve">Share of registered referrals that activated</t>
  </si>
  <si>
    <t xml:space="preserve">Activated / registered, for referrals registered in the period</t>
  </si>
  <si>
    <t xml:space="preserve">referral_id, registered_at, activated_at</t>
  </si>
  <si>
    <t xml:space="preserve">referral_registered, referral_activated</t>
  </si>
  <si>
    <t xml:space="preserve">Judge referral quality</t>
  </si>
  <si>
    <t xml:space="preserve">Recent periods look low until referrals mature</t>
  </si>
  <si>
    <t xml:space="preserve">Depends on the activation definition (A010)</t>
  </si>
  <si>
    <t xml:space="preserve">F06</t>
  </si>
  <si>
    <t xml:space="preserve">Referral Conversion Rate</t>
  </si>
  <si>
    <t xml:space="preserve">Share of created referrals that converted</t>
  </si>
  <si>
    <t xml:space="preserve">Converted / created, for referrals created in the period</t>
  </si>
  <si>
    <t xml:space="preserve">referral_id, created_at, converted_at</t>
  </si>
  <si>
    <t xml:space="preserve">referral_created, referral_converted</t>
  </si>
  <si>
    <t xml:space="preserve">See end-to-end referral success</t>
  </si>
  <si>
    <t xml:space="preserve">Show open referrals beside it</t>
  </si>
  <si>
    <t xml:space="preserve">S01</t>
  </si>
  <si>
    <t xml:space="preserve">Support / Content</t>
  </si>
  <si>
    <t xml:space="preserve">Support Requests</t>
  </si>
  <si>
    <t xml:space="preserve">Support requests created in the period</t>
  </si>
  <si>
    <t xml:space="preserve">COUNT(ticket_id) by created_at</t>
  </si>
  <si>
    <t xml:space="preserve">ticket_id, created_at</t>
  </si>
  <si>
    <t xml:space="preserve">support_request_created</t>
  </si>
  <si>
    <t xml:space="preserve">Support_Tickets</t>
  </si>
  <si>
    <t xml:space="preserve">Support, Product</t>
  </si>
  <si>
    <t xml:space="preserve">See support demand</t>
  </si>
  <si>
    <t xml:space="preserve">Read per 1,000 active users to compare periods</t>
  </si>
  <si>
    <t xml:space="preserve">A support system may not exist yet (A015)</t>
  </si>
  <si>
    <t xml:space="preserve">S02</t>
  </si>
  <si>
    <t xml:space="preserve">Issue Category Mix</t>
  </si>
  <si>
    <t xml:space="preserve">Share of support requests by issue_category</t>
  </si>
  <si>
    <t xml:space="preserve">COUNT(ticket_id) grouped by issue_category / total COUNT</t>
  </si>
  <si>
    <t xml:space="preserve">ticket_id, issue_category</t>
  </si>
  <si>
    <t xml:space="preserve">Learn what users struggle with</t>
  </si>
  <si>
    <t xml:space="preserve">Shifts show emerging problems</t>
  </si>
  <si>
    <t xml:space="preserve">Categories to be agreed; avoid free text</t>
  </si>
  <si>
    <t xml:space="preserve">S03</t>
  </si>
  <si>
    <t xml:space="preserve">Help-Center Engagement</t>
  </si>
  <si>
    <t xml:space="preserve">Share of active users who opened the Help Center</t>
  </si>
  <si>
    <t xml:space="preserve">Distinct users with feature_opened where feature_name = help_center / active users</t>
  </si>
  <si>
    <t xml:space="preserve">user_id, feature_name, event_name</t>
  </si>
  <si>
    <t xml:space="preserve">feature_opened, task_completed, daily_reward_claimed, spin_completed, mission_completed, mining_claimed, withdrawal_requested</t>
  </si>
  <si>
    <t xml:space="preserve">See how much users seek help</t>
  </si>
  <si>
    <t xml:space="preserve">Read with Support Requests</t>
  </si>
  <si>
    <t xml:space="preserve">Help Center events need instrumenting (feature_opened to be agreed)</t>
  </si>
  <si>
    <t xml:space="preserve">T01</t>
  </si>
  <si>
    <t xml:space="preserve">Data Trust</t>
  </si>
  <si>
    <t xml:space="preserve">Wallet Reconciliation Exceptions</t>
  </si>
  <si>
    <t xml:space="preserve">User-and-unit pairs where the ledger total differs from the reported balance</t>
  </si>
  <si>
    <t xml:space="preserve">COUNT(user_id, unit) where SUM(completed credits) - SUM(completed debits) differs from the latest balance_after</t>
  </si>
  <si>
    <t xml:space="preserve">user_id, unit, amount, direction, status, balance_after</t>
  </si>
  <si>
    <t xml:space="preserve">Trust in balances</t>
  </si>
  <si>
    <t xml:space="preserve">Read as exceptions to investigate, not as performance</t>
  </si>
  <si>
    <t xml:space="preserve">Needs balance_after (A005)</t>
  </si>
  <si>
    <t xml:space="preserve">T02</t>
  </si>
  <si>
    <t xml:space="preserve">Provider Callback Reliability</t>
  </si>
  <si>
    <t xml:space="preserve">Share of provider-validated attempts with a callback inside the agreed wait</t>
  </si>
  <si>
    <t xml:space="preserve">Attempts with a callback / attempts that need provider validation</t>
  </si>
  <si>
    <t xml:space="preserve">task_activity_id, provider_reference_id, callback_received_at</t>
  </si>
  <si>
    <t xml:space="preserve">task_started, provider_callback_received</t>
  </si>
  <si>
    <t xml:space="preserve">Task_Activity, Feature_Events</t>
  </si>
  <si>
    <t xml:space="preserve">Engineering, Product</t>
  </si>
  <si>
    <t xml:space="preserve">Measure the external dependency</t>
  </si>
  <si>
    <t xml:space="preserve">A low value means provider data is incomplete, not that users did not act</t>
  </si>
  <si>
    <t xml:space="preserve">Wait time to be agreed; providers differ</t>
  </si>
  <si>
    <t xml:space="preserve">T03</t>
  </si>
  <si>
    <t xml:space="preserve">Event Delivery Delay</t>
  </si>
  <si>
    <t xml:space="preserve">Typical delay between an event happening and being received</t>
  </si>
  <si>
    <t xml:space="preserve">Median and 90th percentile of (received_timestamp - event_timestamp)</t>
  </si>
  <si>
    <t xml:space="preserve">event_timestamp, received_timestamp</t>
  </si>
  <si>
    <t xml:space="preserve">Engineering</t>
  </si>
  <si>
    <t xml:space="preserve">Know how fresh dashboards are</t>
  </si>
  <si>
    <t xml:space="preserve">Rising delay means late-arriving data in recent periods</t>
  </si>
  <si>
    <t xml:space="preserve">Needs received_timestamp from the pipeline</t>
  </si>
  <si>
    <t xml:space="preserve">KPIs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</si>
</sst>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EB9C"/>
        <bgColor rgb="FFFFFFCC"/>
      </patternFill>
    </fill>
    <fill>
      <patternFill patternType="solid">
        <fgColor rgb="FFF8CBAD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23.8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  <c r="B12" s="4" t="n">
        <f aca="false">COUNTA(KPI_Catalogue!A:A)-1</f>
        <v>54</v>
      </c>
    </row>
    <row r="13" customFormat="false" ht="15" hidden="false" customHeight="false" outlineLevel="0" collapsed="false">
      <c r="A13" s="4" t="s">
        <v>10</v>
      </c>
      <c r="B13" s="4" t="n">
        <v>30</v>
      </c>
    </row>
    <row r="14" customFormat="false" ht="15" hidden="false" customHeight="false" outlineLevel="0" collapsed="false">
      <c r="A14" s="4" t="s">
        <v>11</v>
      </c>
      <c r="B14" s="4" t="n">
        <f aca="false">COUNTIF(KPI_Catalogue!N:N,"To Be Verified")</f>
        <v>12</v>
      </c>
    </row>
    <row r="15" customFormat="false" ht="15" hidden="false" customHeight="false" outlineLevel="0" collapsed="false">
      <c r="A15" s="4" t="s">
        <v>12</v>
      </c>
      <c r="B15" s="4" t="n">
        <f aca="false">COUNTIF(KPI_Catalogue!B:B,"Withdrawal")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40"/>
    <col collapsed="false" customWidth="true" hidden="false" outlineLevel="0" max="5" min="5" style="0" width="52"/>
    <col collapsed="false" customWidth="true" hidden="false" outlineLevel="0" max="6" min="6" style="0" width="38"/>
    <col collapsed="false" customWidth="true" hidden="false" outlineLevel="0" max="7" min="7" style="0" width="40"/>
    <col collapsed="false" customWidth="true" hidden="false" outlineLevel="0" max="8" min="8" style="0" width="24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32"/>
    <col collapsed="false" customWidth="true" hidden="false" outlineLevel="0" max="13" min="12" style="0" width="44"/>
    <col collapsed="false" customWidth="true" hidden="false" outlineLevel="0" max="14" min="14" style="0" width="15"/>
  </cols>
  <sheetData>
    <row r="1" customFormat="false" ht="15" hidden="false" customHeight="false" outlineLevel="0" collapsed="false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</row>
    <row r="2" customFormat="false" ht="23.85" hidden="false" customHeight="false" outlineLevel="0" collapsed="false">
      <c r="A2" s="6" t="s">
        <v>27</v>
      </c>
      <c r="B2" s="6" t="s">
        <v>28</v>
      </c>
      <c r="C2" s="6" t="s">
        <v>29</v>
      </c>
      <c r="D2" s="6" t="s">
        <v>30</v>
      </c>
      <c r="E2" s="6" t="s">
        <v>31</v>
      </c>
      <c r="F2" s="6" t="s">
        <v>32</v>
      </c>
      <c r="G2" s="6" t="s">
        <v>33</v>
      </c>
      <c r="H2" s="6" t="s">
        <v>34</v>
      </c>
      <c r="I2" s="6" t="s">
        <v>35</v>
      </c>
      <c r="J2" s="6" t="s">
        <v>36</v>
      </c>
      <c r="K2" s="6" t="s">
        <v>37</v>
      </c>
      <c r="L2" s="6" t="s">
        <v>38</v>
      </c>
      <c r="M2" s="6" t="s">
        <v>39</v>
      </c>
      <c r="N2" s="7" t="s">
        <v>40</v>
      </c>
    </row>
    <row r="3" customFormat="false" ht="35.05" hidden="false" customHeight="false" outlineLevel="0" collapsed="false">
      <c r="A3" s="6" t="s">
        <v>41</v>
      </c>
      <c r="B3" s="6" t="s">
        <v>28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  <c r="I3" s="6" t="s">
        <v>35</v>
      </c>
      <c r="J3" s="6" t="s">
        <v>48</v>
      </c>
      <c r="K3" s="6" t="s">
        <v>49</v>
      </c>
      <c r="L3" s="6" t="s">
        <v>50</v>
      </c>
      <c r="M3" s="6" t="s">
        <v>51</v>
      </c>
      <c r="N3" s="7" t="s">
        <v>40</v>
      </c>
    </row>
    <row r="4" customFormat="false" ht="35.05" hidden="false" customHeight="false" outlineLevel="0" collapsed="false">
      <c r="A4" s="6" t="s">
        <v>52</v>
      </c>
      <c r="B4" s="6" t="s">
        <v>28</v>
      </c>
      <c r="C4" s="6" t="s">
        <v>53</v>
      </c>
      <c r="D4" s="6" t="s">
        <v>54</v>
      </c>
      <c r="E4" s="6" t="s">
        <v>55</v>
      </c>
      <c r="F4" s="6" t="s">
        <v>45</v>
      </c>
      <c r="G4" s="6" t="s">
        <v>46</v>
      </c>
      <c r="H4" s="6" t="s">
        <v>47</v>
      </c>
      <c r="I4" s="6" t="s">
        <v>56</v>
      </c>
      <c r="J4" s="6" t="s">
        <v>48</v>
      </c>
      <c r="K4" s="6" t="s">
        <v>57</v>
      </c>
      <c r="L4" s="6" t="s">
        <v>58</v>
      </c>
      <c r="M4" s="6" t="s">
        <v>59</v>
      </c>
      <c r="N4" s="7" t="s">
        <v>40</v>
      </c>
    </row>
    <row r="5" customFormat="false" ht="35.05" hidden="false" customHeight="false" outlineLevel="0" collapsed="false">
      <c r="A5" s="6" t="s">
        <v>60</v>
      </c>
      <c r="B5" s="6" t="s">
        <v>28</v>
      </c>
      <c r="C5" s="6" t="s">
        <v>61</v>
      </c>
      <c r="D5" s="6" t="s">
        <v>62</v>
      </c>
      <c r="E5" s="6" t="s">
        <v>63</v>
      </c>
      <c r="F5" s="6" t="s">
        <v>45</v>
      </c>
      <c r="G5" s="6" t="s">
        <v>46</v>
      </c>
      <c r="H5" s="6" t="s">
        <v>47</v>
      </c>
      <c r="I5" s="6" t="s">
        <v>64</v>
      </c>
      <c r="J5" s="6" t="s">
        <v>48</v>
      </c>
      <c r="K5" s="6" t="s">
        <v>65</v>
      </c>
      <c r="L5" s="6" t="s">
        <v>66</v>
      </c>
      <c r="M5" s="6" t="s">
        <v>67</v>
      </c>
      <c r="N5" s="7" t="s">
        <v>40</v>
      </c>
    </row>
    <row r="6" customFormat="false" ht="35.05" hidden="false" customHeight="false" outlineLevel="0" collapsed="false">
      <c r="A6" s="6" t="s">
        <v>68</v>
      </c>
      <c r="B6" s="6" t="s">
        <v>28</v>
      </c>
      <c r="C6" s="6" t="s">
        <v>69</v>
      </c>
      <c r="D6" s="6" t="s">
        <v>70</v>
      </c>
      <c r="E6" s="6" t="s">
        <v>71</v>
      </c>
      <c r="F6" s="6" t="s">
        <v>72</v>
      </c>
      <c r="G6" s="6" t="s">
        <v>46</v>
      </c>
      <c r="H6" s="6" t="s">
        <v>73</v>
      </c>
      <c r="I6" s="6" t="s">
        <v>56</v>
      </c>
      <c r="J6" s="6" t="s">
        <v>74</v>
      </c>
      <c r="K6" s="6" t="s">
        <v>75</v>
      </c>
      <c r="L6" s="6" t="s">
        <v>76</v>
      </c>
      <c r="M6" s="6" t="s">
        <v>77</v>
      </c>
      <c r="N6" s="7" t="s">
        <v>40</v>
      </c>
    </row>
    <row r="7" customFormat="false" ht="23.85" hidden="false" customHeight="false" outlineLevel="0" collapsed="false">
      <c r="A7" s="6" t="s">
        <v>78</v>
      </c>
      <c r="B7" s="6" t="s">
        <v>28</v>
      </c>
      <c r="C7" s="6" t="s">
        <v>79</v>
      </c>
      <c r="D7" s="6" t="s">
        <v>80</v>
      </c>
      <c r="E7" s="6" t="s">
        <v>81</v>
      </c>
      <c r="F7" s="6" t="s">
        <v>82</v>
      </c>
      <c r="G7" s="6" t="s">
        <v>83</v>
      </c>
      <c r="H7" s="6" t="s">
        <v>34</v>
      </c>
      <c r="I7" s="6" t="s">
        <v>56</v>
      </c>
      <c r="J7" s="6" t="s">
        <v>84</v>
      </c>
      <c r="K7" s="6" t="s">
        <v>85</v>
      </c>
      <c r="L7" s="6" t="s">
        <v>86</v>
      </c>
      <c r="M7" s="6" t="s">
        <v>87</v>
      </c>
      <c r="N7" s="8" t="s">
        <v>88</v>
      </c>
    </row>
    <row r="8" customFormat="false" ht="35.05" hidden="false" customHeight="false" outlineLevel="0" collapsed="false">
      <c r="A8" s="6" t="s">
        <v>89</v>
      </c>
      <c r="B8" s="6" t="s">
        <v>28</v>
      </c>
      <c r="C8" s="6" t="s">
        <v>90</v>
      </c>
      <c r="D8" s="6" t="s">
        <v>91</v>
      </c>
      <c r="E8" s="6" t="s">
        <v>92</v>
      </c>
      <c r="F8" s="6" t="s">
        <v>93</v>
      </c>
      <c r="G8" s="6" t="s">
        <v>94</v>
      </c>
      <c r="H8" s="6" t="s">
        <v>34</v>
      </c>
      <c r="I8" s="6" t="s">
        <v>56</v>
      </c>
      <c r="J8" s="6" t="s">
        <v>74</v>
      </c>
      <c r="K8" s="6" t="s">
        <v>95</v>
      </c>
      <c r="L8" s="6" t="s">
        <v>96</v>
      </c>
      <c r="M8" s="6" t="s">
        <v>97</v>
      </c>
      <c r="N8" s="7" t="s">
        <v>40</v>
      </c>
    </row>
    <row r="9" customFormat="false" ht="46.25" hidden="false" customHeight="false" outlineLevel="0" collapsed="false">
      <c r="A9" s="6" t="s">
        <v>98</v>
      </c>
      <c r="B9" s="6" t="s">
        <v>28</v>
      </c>
      <c r="C9" s="6" t="s">
        <v>99</v>
      </c>
      <c r="D9" s="6" t="s">
        <v>100</v>
      </c>
      <c r="E9" s="6" t="s">
        <v>101</v>
      </c>
      <c r="F9" s="6" t="s">
        <v>102</v>
      </c>
      <c r="G9" s="6" t="s">
        <v>103</v>
      </c>
      <c r="H9" s="6" t="s">
        <v>73</v>
      </c>
      <c r="I9" s="6" t="s">
        <v>56</v>
      </c>
      <c r="J9" s="6" t="s">
        <v>48</v>
      </c>
      <c r="K9" s="6" t="s">
        <v>104</v>
      </c>
      <c r="L9" s="6" t="s">
        <v>105</v>
      </c>
      <c r="M9" s="6" t="s">
        <v>106</v>
      </c>
      <c r="N9" s="7" t="s">
        <v>40</v>
      </c>
    </row>
    <row r="10" customFormat="false" ht="23.85" hidden="false" customHeight="false" outlineLevel="0" collapsed="false">
      <c r="A10" s="6" t="s">
        <v>107</v>
      </c>
      <c r="B10" s="6" t="s">
        <v>28</v>
      </c>
      <c r="C10" s="6" t="s">
        <v>108</v>
      </c>
      <c r="D10" s="6" t="s">
        <v>109</v>
      </c>
      <c r="E10" s="6" t="s">
        <v>110</v>
      </c>
      <c r="F10" s="6" t="s">
        <v>111</v>
      </c>
      <c r="G10" s="6" t="s">
        <v>112</v>
      </c>
      <c r="H10" s="6" t="s">
        <v>113</v>
      </c>
      <c r="I10" s="6" t="s">
        <v>56</v>
      </c>
      <c r="J10" s="6" t="s">
        <v>114</v>
      </c>
      <c r="K10" s="6" t="s">
        <v>115</v>
      </c>
      <c r="L10" s="6" t="s">
        <v>116</v>
      </c>
      <c r="M10" s="6" t="s">
        <v>117</v>
      </c>
      <c r="N10" s="8" t="s">
        <v>88</v>
      </c>
    </row>
    <row r="11" customFormat="false" ht="23.85" hidden="false" customHeight="false" outlineLevel="0" collapsed="false">
      <c r="A11" s="6" t="s">
        <v>118</v>
      </c>
      <c r="B11" s="6" t="s">
        <v>28</v>
      </c>
      <c r="C11" s="6" t="s">
        <v>119</v>
      </c>
      <c r="D11" s="6" t="s">
        <v>120</v>
      </c>
      <c r="E11" s="6" t="s">
        <v>121</v>
      </c>
      <c r="F11" s="6" t="s">
        <v>45</v>
      </c>
      <c r="G11" s="6" t="s">
        <v>122</v>
      </c>
      <c r="H11" s="6" t="s">
        <v>47</v>
      </c>
      <c r="I11" s="6" t="s">
        <v>35</v>
      </c>
      <c r="J11" s="6" t="s">
        <v>74</v>
      </c>
      <c r="K11" s="6" t="s">
        <v>123</v>
      </c>
      <c r="L11" s="6" t="s">
        <v>124</v>
      </c>
      <c r="M11" s="6" t="s">
        <v>125</v>
      </c>
      <c r="N11" s="7" t="s">
        <v>40</v>
      </c>
    </row>
    <row r="12" customFormat="false" ht="23.85" hidden="false" customHeight="false" outlineLevel="0" collapsed="false">
      <c r="A12" s="6" t="s">
        <v>126</v>
      </c>
      <c r="B12" s="6" t="s">
        <v>127</v>
      </c>
      <c r="C12" s="6" t="s">
        <v>128</v>
      </c>
      <c r="D12" s="6" t="s">
        <v>129</v>
      </c>
      <c r="E12" s="6" t="s">
        <v>130</v>
      </c>
      <c r="F12" s="6" t="s">
        <v>131</v>
      </c>
      <c r="G12" s="6" t="s">
        <v>132</v>
      </c>
      <c r="H12" s="6" t="s">
        <v>47</v>
      </c>
      <c r="I12" s="6" t="s">
        <v>35</v>
      </c>
      <c r="J12" s="6" t="s">
        <v>74</v>
      </c>
      <c r="K12" s="6" t="s">
        <v>133</v>
      </c>
      <c r="L12" s="6" t="s">
        <v>134</v>
      </c>
      <c r="M12" s="6" t="s">
        <v>135</v>
      </c>
      <c r="N12" s="7" t="s">
        <v>40</v>
      </c>
    </row>
    <row r="13" customFormat="false" ht="57.45" hidden="false" customHeight="false" outlineLevel="0" collapsed="false">
      <c r="A13" s="6" t="s">
        <v>136</v>
      </c>
      <c r="B13" s="6" t="s">
        <v>127</v>
      </c>
      <c r="C13" s="6" t="s">
        <v>137</v>
      </c>
      <c r="D13" s="6" t="s">
        <v>138</v>
      </c>
      <c r="E13" s="6" t="s">
        <v>139</v>
      </c>
      <c r="F13" s="6" t="s">
        <v>131</v>
      </c>
      <c r="G13" s="6" t="s">
        <v>140</v>
      </c>
      <c r="H13" s="6" t="s">
        <v>47</v>
      </c>
      <c r="I13" s="6" t="s">
        <v>56</v>
      </c>
      <c r="J13" s="6" t="s">
        <v>48</v>
      </c>
      <c r="K13" s="6" t="s">
        <v>141</v>
      </c>
      <c r="L13" s="6" t="s">
        <v>142</v>
      </c>
      <c r="M13" s="6" t="s">
        <v>143</v>
      </c>
      <c r="N13" s="7" t="s">
        <v>40</v>
      </c>
    </row>
    <row r="14" customFormat="false" ht="15" hidden="false" customHeight="false" outlineLevel="0" collapsed="false">
      <c r="A14" s="6" t="s">
        <v>144</v>
      </c>
      <c r="B14" s="6" t="s">
        <v>127</v>
      </c>
      <c r="C14" s="6" t="s">
        <v>145</v>
      </c>
      <c r="D14" s="6" t="s">
        <v>146</v>
      </c>
      <c r="E14" s="6" t="s">
        <v>147</v>
      </c>
      <c r="F14" s="6" t="s">
        <v>148</v>
      </c>
      <c r="G14" s="6" t="s">
        <v>149</v>
      </c>
      <c r="H14" s="6" t="s">
        <v>150</v>
      </c>
      <c r="I14" s="6" t="s">
        <v>35</v>
      </c>
      <c r="J14" s="6" t="s">
        <v>84</v>
      </c>
      <c r="K14" s="6" t="s">
        <v>151</v>
      </c>
      <c r="L14" s="6" t="s">
        <v>152</v>
      </c>
      <c r="M14" s="6" t="s">
        <v>153</v>
      </c>
      <c r="N14" s="7" t="s">
        <v>40</v>
      </c>
    </row>
    <row r="15" customFormat="false" ht="23.85" hidden="false" customHeight="false" outlineLevel="0" collapsed="false">
      <c r="A15" s="6" t="s">
        <v>154</v>
      </c>
      <c r="B15" s="6" t="s">
        <v>127</v>
      </c>
      <c r="C15" s="6" t="s">
        <v>155</v>
      </c>
      <c r="D15" s="6" t="s">
        <v>156</v>
      </c>
      <c r="E15" s="6" t="s">
        <v>157</v>
      </c>
      <c r="F15" s="6" t="s">
        <v>158</v>
      </c>
      <c r="G15" s="6" t="s">
        <v>159</v>
      </c>
      <c r="H15" s="6" t="s">
        <v>150</v>
      </c>
      <c r="I15" s="6" t="s">
        <v>35</v>
      </c>
      <c r="J15" s="6" t="s">
        <v>84</v>
      </c>
      <c r="K15" s="6" t="s">
        <v>160</v>
      </c>
      <c r="L15" s="6" t="s">
        <v>161</v>
      </c>
      <c r="M15" s="6" t="s">
        <v>162</v>
      </c>
      <c r="N15" s="7" t="s">
        <v>40</v>
      </c>
    </row>
    <row r="16" customFormat="false" ht="23.85" hidden="false" customHeight="false" outlineLevel="0" collapsed="false">
      <c r="A16" s="6" t="s">
        <v>163</v>
      </c>
      <c r="B16" s="6" t="s">
        <v>127</v>
      </c>
      <c r="C16" s="6" t="s">
        <v>164</v>
      </c>
      <c r="D16" s="6" t="s">
        <v>165</v>
      </c>
      <c r="E16" s="6" t="s">
        <v>166</v>
      </c>
      <c r="F16" s="6" t="s">
        <v>167</v>
      </c>
      <c r="G16" s="6" t="s">
        <v>168</v>
      </c>
      <c r="H16" s="6" t="s">
        <v>150</v>
      </c>
      <c r="I16" s="6" t="s">
        <v>56</v>
      </c>
      <c r="J16" s="6" t="s">
        <v>74</v>
      </c>
      <c r="K16" s="6" t="s">
        <v>169</v>
      </c>
      <c r="L16" s="6" t="s">
        <v>170</v>
      </c>
      <c r="M16" s="6" t="s">
        <v>171</v>
      </c>
      <c r="N16" s="7" t="s">
        <v>40</v>
      </c>
    </row>
    <row r="17" customFormat="false" ht="23.85" hidden="false" customHeight="false" outlineLevel="0" collapsed="false">
      <c r="A17" s="6" t="s">
        <v>172</v>
      </c>
      <c r="B17" s="6" t="s">
        <v>127</v>
      </c>
      <c r="C17" s="6" t="s">
        <v>173</v>
      </c>
      <c r="D17" s="6" t="s">
        <v>174</v>
      </c>
      <c r="E17" s="6" t="s">
        <v>175</v>
      </c>
      <c r="F17" s="6" t="s">
        <v>176</v>
      </c>
      <c r="G17" s="6" t="s">
        <v>177</v>
      </c>
      <c r="H17" s="6" t="s">
        <v>150</v>
      </c>
      <c r="I17" s="6" t="s">
        <v>56</v>
      </c>
      <c r="J17" s="6" t="s">
        <v>178</v>
      </c>
      <c r="K17" s="6" t="s">
        <v>179</v>
      </c>
      <c r="L17" s="6" t="s">
        <v>180</v>
      </c>
      <c r="M17" s="6" t="s">
        <v>181</v>
      </c>
      <c r="N17" s="7" t="s">
        <v>40</v>
      </c>
    </row>
    <row r="18" customFormat="false" ht="23.85" hidden="false" customHeight="false" outlineLevel="0" collapsed="false">
      <c r="A18" s="6" t="s">
        <v>182</v>
      </c>
      <c r="B18" s="6" t="s">
        <v>127</v>
      </c>
      <c r="C18" s="6" t="s">
        <v>183</v>
      </c>
      <c r="D18" s="6" t="s">
        <v>184</v>
      </c>
      <c r="E18" s="6" t="s">
        <v>185</v>
      </c>
      <c r="F18" s="6" t="s">
        <v>186</v>
      </c>
      <c r="G18" s="6" t="s">
        <v>187</v>
      </c>
      <c r="H18" s="6" t="s">
        <v>47</v>
      </c>
      <c r="I18" s="6" t="s">
        <v>56</v>
      </c>
      <c r="J18" s="6" t="s">
        <v>74</v>
      </c>
      <c r="K18" s="6" t="s">
        <v>188</v>
      </c>
      <c r="L18" s="6" t="s">
        <v>189</v>
      </c>
      <c r="M18" s="6" t="s">
        <v>190</v>
      </c>
      <c r="N18" s="7" t="s">
        <v>40</v>
      </c>
    </row>
    <row r="19" customFormat="false" ht="23.85" hidden="false" customHeight="false" outlineLevel="0" collapsed="false">
      <c r="A19" s="6" t="s">
        <v>191</v>
      </c>
      <c r="B19" s="6" t="s">
        <v>127</v>
      </c>
      <c r="C19" s="6" t="s">
        <v>192</v>
      </c>
      <c r="D19" s="6" t="s">
        <v>193</v>
      </c>
      <c r="E19" s="6" t="s">
        <v>194</v>
      </c>
      <c r="F19" s="6" t="s">
        <v>195</v>
      </c>
      <c r="G19" s="6" t="s">
        <v>196</v>
      </c>
      <c r="H19" s="6" t="s">
        <v>47</v>
      </c>
      <c r="I19" s="6" t="s">
        <v>56</v>
      </c>
      <c r="J19" s="6" t="s">
        <v>74</v>
      </c>
      <c r="K19" s="6" t="s">
        <v>197</v>
      </c>
      <c r="L19" s="6" t="s">
        <v>198</v>
      </c>
      <c r="M19" s="6" t="s">
        <v>199</v>
      </c>
      <c r="N19" s="7" t="s">
        <v>40</v>
      </c>
    </row>
    <row r="20" customFormat="false" ht="23.85" hidden="false" customHeight="false" outlineLevel="0" collapsed="false">
      <c r="A20" s="6" t="s">
        <v>200</v>
      </c>
      <c r="B20" s="6" t="s">
        <v>127</v>
      </c>
      <c r="C20" s="6" t="s">
        <v>201</v>
      </c>
      <c r="D20" s="6" t="s">
        <v>202</v>
      </c>
      <c r="E20" s="6" t="s">
        <v>203</v>
      </c>
      <c r="F20" s="6" t="s">
        <v>204</v>
      </c>
      <c r="G20" s="6" t="s">
        <v>205</v>
      </c>
      <c r="H20" s="6" t="s">
        <v>47</v>
      </c>
      <c r="I20" s="6" t="s">
        <v>56</v>
      </c>
      <c r="J20" s="6" t="s">
        <v>74</v>
      </c>
      <c r="K20" s="6" t="s">
        <v>206</v>
      </c>
      <c r="L20" s="6" t="s">
        <v>207</v>
      </c>
      <c r="M20" s="6" t="s">
        <v>208</v>
      </c>
      <c r="N20" s="7" t="s">
        <v>40</v>
      </c>
    </row>
    <row r="21" customFormat="false" ht="23.85" hidden="false" customHeight="false" outlineLevel="0" collapsed="false">
      <c r="A21" s="6" t="s">
        <v>209</v>
      </c>
      <c r="B21" s="6" t="s">
        <v>127</v>
      </c>
      <c r="C21" s="6" t="s">
        <v>210</v>
      </c>
      <c r="D21" s="6" t="s">
        <v>211</v>
      </c>
      <c r="E21" s="6" t="s">
        <v>212</v>
      </c>
      <c r="F21" s="6" t="s">
        <v>213</v>
      </c>
      <c r="G21" s="6" t="s">
        <v>214</v>
      </c>
      <c r="H21" s="6" t="s">
        <v>47</v>
      </c>
      <c r="I21" s="6" t="s">
        <v>56</v>
      </c>
      <c r="J21" s="6" t="s">
        <v>74</v>
      </c>
      <c r="K21" s="6" t="s">
        <v>215</v>
      </c>
      <c r="L21" s="6" t="s">
        <v>216</v>
      </c>
      <c r="M21" s="6" t="s">
        <v>217</v>
      </c>
      <c r="N21" s="7" t="s">
        <v>40</v>
      </c>
    </row>
    <row r="22" customFormat="false" ht="35.05" hidden="false" customHeight="false" outlineLevel="0" collapsed="false">
      <c r="A22" s="6" t="s">
        <v>218</v>
      </c>
      <c r="B22" s="6" t="s">
        <v>219</v>
      </c>
      <c r="C22" s="6" t="s">
        <v>220</v>
      </c>
      <c r="D22" s="6" t="s">
        <v>221</v>
      </c>
      <c r="E22" s="6" t="s">
        <v>222</v>
      </c>
      <c r="F22" s="6" t="s">
        <v>223</v>
      </c>
      <c r="G22" s="6" t="s">
        <v>224</v>
      </c>
      <c r="H22" s="6" t="s">
        <v>225</v>
      </c>
      <c r="I22" s="6" t="s">
        <v>35</v>
      </c>
      <c r="J22" s="6" t="s">
        <v>226</v>
      </c>
      <c r="K22" s="6" t="s">
        <v>227</v>
      </c>
      <c r="L22" s="6" t="s">
        <v>228</v>
      </c>
      <c r="M22" s="6" t="s">
        <v>229</v>
      </c>
      <c r="N22" s="7" t="s">
        <v>40</v>
      </c>
    </row>
    <row r="23" customFormat="false" ht="23.85" hidden="false" customHeight="false" outlineLevel="0" collapsed="false">
      <c r="A23" s="6" t="s">
        <v>230</v>
      </c>
      <c r="B23" s="6" t="s">
        <v>219</v>
      </c>
      <c r="C23" s="6" t="s">
        <v>231</v>
      </c>
      <c r="D23" s="6" t="s">
        <v>232</v>
      </c>
      <c r="E23" s="6" t="s">
        <v>233</v>
      </c>
      <c r="F23" s="6" t="s">
        <v>234</v>
      </c>
      <c r="G23" s="6" t="s">
        <v>235</v>
      </c>
      <c r="H23" s="6" t="s">
        <v>225</v>
      </c>
      <c r="I23" s="6" t="s">
        <v>35</v>
      </c>
      <c r="J23" s="6" t="s">
        <v>236</v>
      </c>
      <c r="K23" s="6" t="s">
        <v>237</v>
      </c>
      <c r="L23" s="6" t="s">
        <v>238</v>
      </c>
      <c r="M23" s="6" t="s">
        <v>239</v>
      </c>
      <c r="N23" s="7" t="s">
        <v>40</v>
      </c>
    </row>
    <row r="24" customFormat="false" ht="23.85" hidden="false" customHeight="false" outlineLevel="0" collapsed="false">
      <c r="A24" s="6" t="s">
        <v>240</v>
      </c>
      <c r="B24" s="6" t="s">
        <v>219</v>
      </c>
      <c r="C24" s="6" t="s">
        <v>241</v>
      </c>
      <c r="D24" s="6" t="s">
        <v>242</v>
      </c>
      <c r="E24" s="6" t="s">
        <v>243</v>
      </c>
      <c r="F24" s="6" t="s">
        <v>244</v>
      </c>
      <c r="G24" s="6" t="s">
        <v>245</v>
      </c>
      <c r="H24" s="6" t="s">
        <v>225</v>
      </c>
      <c r="I24" s="6" t="s">
        <v>56</v>
      </c>
      <c r="J24" s="6" t="s">
        <v>226</v>
      </c>
      <c r="K24" s="6" t="s">
        <v>246</v>
      </c>
      <c r="L24" s="6" t="s">
        <v>247</v>
      </c>
      <c r="M24" s="6" t="s">
        <v>248</v>
      </c>
      <c r="N24" s="7" t="s">
        <v>40</v>
      </c>
    </row>
    <row r="25" customFormat="false" ht="23.85" hidden="false" customHeight="false" outlineLevel="0" collapsed="false">
      <c r="A25" s="6" t="s">
        <v>249</v>
      </c>
      <c r="B25" s="6" t="s">
        <v>219</v>
      </c>
      <c r="C25" s="6" t="s">
        <v>250</v>
      </c>
      <c r="D25" s="6" t="s">
        <v>251</v>
      </c>
      <c r="E25" s="6" t="s">
        <v>252</v>
      </c>
      <c r="F25" s="6" t="s">
        <v>253</v>
      </c>
      <c r="G25" s="6" t="s">
        <v>254</v>
      </c>
      <c r="H25" s="6" t="s">
        <v>225</v>
      </c>
      <c r="I25" s="6" t="s">
        <v>56</v>
      </c>
      <c r="J25" s="6" t="s">
        <v>226</v>
      </c>
      <c r="K25" s="6" t="s">
        <v>255</v>
      </c>
      <c r="L25" s="6" t="s">
        <v>256</v>
      </c>
      <c r="M25" s="6" t="s">
        <v>257</v>
      </c>
      <c r="N25" s="7" t="s">
        <v>40</v>
      </c>
    </row>
    <row r="26" customFormat="false" ht="23.85" hidden="false" customHeight="false" outlineLevel="0" collapsed="false">
      <c r="A26" s="6" t="s">
        <v>258</v>
      </c>
      <c r="B26" s="6" t="s">
        <v>219</v>
      </c>
      <c r="C26" s="6" t="s">
        <v>259</v>
      </c>
      <c r="D26" s="6" t="s">
        <v>260</v>
      </c>
      <c r="E26" s="6" t="s">
        <v>261</v>
      </c>
      <c r="F26" s="6" t="s">
        <v>262</v>
      </c>
      <c r="G26" s="6" t="s">
        <v>235</v>
      </c>
      <c r="H26" s="6" t="s">
        <v>225</v>
      </c>
      <c r="I26" s="6" t="s">
        <v>56</v>
      </c>
      <c r="J26" s="6" t="s">
        <v>263</v>
      </c>
      <c r="K26" s="6" t="s">
        <v>264</v>
      </c>
      <c r="L26" s="6" t="s">
        <v>265</v>
      </c>
      <c r="M26" s="6" t="s">
        <v>266</v>
      </c>
      <c r="N26" s="7" t="s">
        <v>40</v>
      </c>
    </row>
    <row r="27" customFormat="false" ht="23.85" hidden="false" customHeight="false" outlineLevel="0" collapsed="false">
      <c r="A27" s="6" t="s">
        <v>267</v>
      </c>
      <c r="B27" s="6" t="s">
        <v>219</v>
      </c>
      <c r="C27" s="6" t="s">
        <v>268</v>
      </c>
      <c r="D27" s="6" t="s">
        <v>269</v>
      </c>
      <c r="E27" s="6" t="s">
        <v>270</v>
      </c>
      <c r="F27" s="6" t="s">
        <v>271</v>
      </c>
      <c r="G27" s="6" t="s">
        <v>272</v>
      </c>
      <c r="H27" s="6" t="s">
        <v>225</v>
      </c>
      <c r="I27" s="6" t="s">
        <v>273</v>
      </c>
      <c r="J27" s="6" t="s">
        <v>274</v>
      </c>
      <c r="K27" s="6" t="s">
        <v>275</v>
      </c>
      <c r="L27" s="6" t="s">
        <v>276</v>
      </c>
      <c r="M27" s="6" t="s">
        <v>277</v>
      </c>
      <c r="N27" s="8" t="s">
        <v>88</v>
      </c>
    </row>
    <row r="28" customFormat="false" ht="23.85" hidden="false" customHeight="false" outlineLevel="0" collapsed="false">
      <c r="A28" s="6" t="s">
        <v>278</v>
      </c>
      <c r="B28" s="6" t="s">
        <v>219</v>
      </c>
      <c r="C28" s="6" t="s">
        <v>279</v>
      </c>
      <c r="D28" s="6" t="s">
        <v>280</v>
      </c>
      <c r="E28" s="6" t="s">
        <v>281</v>
      </c>
      <c r="F28" s="6" t="s">
        <v>282</v>
      </c>
      <c r="G28" s="6" t="s">
        <v>283</v>
      </c>
      <c r="H28" s="6" t="s">
        <v>225</v>
      </c>
      <c r="I28" s="6" t="s">
        <v>56</v>
      </c>
      <c r="J28" s="6" t="s">
        <v>284</v>
      </c>
      <c r="K28" s="6" t="s">
        <v>285</v>
      </c>
      <c r="L28" s="6" t="s">
        <v>286</v>
      </c>
      <c r="M28" s="6" t="s">
        <v>287</v>
      </c>
      <c r="N28" s="7" t="s">
        <v>40</v>
      </c>
    </row>
    <row r="29" customFormat="false" ht="23.85" hidden="false" customHeight="false" outlineLevel="0" collapsed="false">
      <c r="A29" s="6" t="s">
        <v>288</v>
      </c>
      <c r="B29" s="6" t="s">
        <v>289</v>
      </c>
      <c r="C29" s="6" t="s">
        <v>290</v>
      </c>
      <c r="D29" s="6" t="s">
        <v>291</v>
      </c>
      <c r="E29" s="6" t="s">
        <v>292</v>
      </c>
      <c r="F29" s="6" t="s">
        <v>293</v>
      </c>
      <c r="G29" s="6" t="s">
        <v>294</v>
      </c>
      <c r="H29" s="6" t="s">
        <v>295</v>
      </c>
      <c r="I29" s="6" t="s">
        <v>35</v>
      </c>
      <c r="J29" s="6" t="s">
        <v>296</v>
      </c>
      <c r="K29" s="6" t="s">
        <v>297</v>
      </c>
      <c r="L29" s="6" t="s">
        <v>298</v>
      </c>
      <c r="M29" s="6" t="s">
        <v>299</v>
      </c>
      <c r="N29" s="7" t="s">
        <v>40</v>
      </c>
    </row>
    <row r="30" customFormat="false" ht="23.85" hidden="false" customHeight="false" outlineLevel="0" collapsed="false">
      <c r="A30" s="6" t="s">
        <v>300</v>
      </c>
      <c r="B30" s="6" t="s">
        <v>289</v>
      </c>
      <c r="C30" s="6" t="s">
        <v>301</v>
      </c>
      <c r="D30" s="6" t="s">
        <v>302</v>
      </c>
      <c r="E30" s="6" t="s">
        <v>303</v>
      </c>
      <c r="F30" s="6" t="s">
        <v>304</v>
      </c>
      <c r="G30" s="6" t="s">
        <v>305</v>
      </c>
      <c r="H30" s="6" t="s">
        <v>295</v>
      </c>
      <c r="I30" s="6" t="s">
        <v>35</v>
      </c>
      <c r="J30" s="6" t="s">
        <v>284</v>
      </c>
      <c r="K30" s="6" t="s">
        <v>306</v>
      </c>
      <c r="L30" s="6" t="s">
        <v>307</v>
      </c>
      <c r="M30" s="6" t="s">
        <v>308</v>
      </c>
      <c r="N30" s="7" t="s">
        <v>40</v>
      </c>
    </row>
    <row r="31" customFormat="false" ht="23.85" hidden="false" customHeight="false" outlineLevel="0" collapsed="false">
      <c r="A31" s="6" t="s">
        <v>309</v>
      </c>
      <c r="B31" s="6" t="s">
        <v>289</v>
      </c>
      <c r="C31" s="6" t="s">
        <v>310</v>
      </c>
      <c r="D31" s="6" t="s">
        <v>311</v>
      </c>
      <c r="E31" s="6" t="s">
        <v>312</v>
      </c>
      <c r="F31" s="6" t="s">
        <v>313</v>
      </c>
      <c r="G31" s="6" t="s">
        <v>305</v>
      </c>
      <c r="H31" s="6" t="s">
        <v>295</v>
      </c>
      <c r="I31" s="6" t="s">
        <v>56</v>
      </c>
      <c r="J31" s="6" t="s">
        <v>236</v>
      </c>
      <c r="K31" s="6" t="s">
        <v>314</v>
      </c>
      <c r="L31" s="6" t="s">
        <v>307</v>
      </c>
      <c r="M31" s="6" t="s">
        <v>315</v>
      </c>
      <c r="N31" s="8" t="s">
        <v>88</v>
      </c>
    </row>
    <row r="32" customFormat="false" ht="23.85" hidden="false" customHeight="false" outlineLevel="0" collapsed="false">
      <c r="A32" s="6" t="s">
        <v>316</v>
      </c>
      <c r="B32" s="6" t="s">
        <v>289</v>
      </c>
      <c r="C32" s="6" t="s">
        <v>317</v>
      </c>
      <c r="D32" s="6" t="s">
        <v>318</v>
      </c>
      <c r="E32" s="6" t="s">
        <v>319</v>
      </c>
      <c r="F32" s="6" t="s">
        <v>320</v>
      </c>
      <c r="G32" s="6" t="s">
        <v>321</v>
      </c>
      <c r="H32" s="6" t="s">
        <v>295</v>
      </c>
      <c r="I32" s="6" t="s">
        <v>56</v>
      </c>
      <c r="J32" s="6" t="s">
        <v>322</v>
      </c>
      <c r="K32" s="6" t="s">
        <v>323</v>
      </c>
      <c r="L32" s="6" t="s">
        <v>247</v>
      </c>
      <c r="M32" s="6" t="s">
        <v>324</v>
      </c>
      <c r="N32" s="7" t="s">
        <v>40</v>
      </c>
    </row>
    <row r="33" customFormat="false" ht="23.85" hidden="false" customHeight="false" outlineLevel="0" collapsed="false">
      <c r="A33" s="6" t="s">
        <v>325</v>
      </c>
      <c r="B33" s="6" t="s">
        <v>289</v>
      </c>
      <c r="C33" s="6" t="s">
        <v>326</v>
      </c>
      <c r="D33" s="6" t="s">
        <v>327</v>
      </c>
      <c r="E33" s="6" t="s">
        <v>328</v>
      </c>
      <c r="F33" s="6" t="s">
        <v>329</v>
      </c>
      <c r="G33" s="6" t="s">
        <v>330</v>
      </c>
      <c r="H33" s="6" t="s">
        <v>295</v>
      </c>
      <c r="I33" s="6" t="s">
        <v>56</v>
      </c>
      <c r="J33" s="6" t="s">
        <v>263</v>
      </c>
      <c r="K33" s="6" t="s">
        <v>331</v>
      </c>
      <c r="L33" s="6" t="s">
        <v>332</v>
      </c>
      <c r="M33" s="6" t="s">
        <v>333</v>
      </c>
      <c r="N33" s="8" t="s">
        <v>88</v>
      </c>
    </row>
    <row r="34" customFormat="false" ht="15" hidden="false" customHeight="false" outlineLevel="0" collapsed="false">
      <c r="A34" s="6" t="s">
        <v>334</v>
      </c>
      <c r="B34" s="6" t="s">
        <v>335</v>
      </c>
      <c r="C34" s="6" t="s">
        <v>336</v>
      </c>
      <c r="D34" s="6" t="s">
        <v>337</v>
      </c>
      <c r="E34" s="6" t="s">
        <v>338</v>
      </c>
      <c r="F34" s="6" t="s">
        <v>339</v>
      </c>
      <c r="G34" s="6" t="s">
        <v>340</v>
      </c>
      <c r="H34" s="6" t="s">
        <v>341</v>
      </c>
      <c r="I34" s="6" t="s">
        <v>35</v>
      </c>
      <c r="J34" s="6" t="s">
        <v>84</v>
      </c>
      <c r="K34" s="6" t="s">
        <v>342</v>
      </c>
      <c r="L34" s="6" t="s">
        <v>343</v>
      </c>
      <c r="M34" s="6" t="s">
        <v>344</v>
      </c>
      <c r="N34" s="7" t="s">
        <v>40</v>
      </c>
    </row>
    <row r="35" customFormat="false" ht="23.85" hidden="false" customHeight="false" outlineLevel="0" collapsed="false">
      <c r="A35" s="6" t="s">
        <v>345</v>
      </c>
      <c r="B35" s="6" t="s">
        <v>335</v>
      </c>
      <c r="C35" s="6" t="s">
        <v>346</v>
      </c>
      <c r="D35" s="6" t="s">
        <v>347</v>
      </c>
      <c r="E35" s="6" t="s">
        <v>348</v>
      </c>
      <c r="F35" s="6" t="s">
        <v>349</v>
      </c>
      <c r="G35" s="6" t="s">
        <v>350</v>
      </c>
      <c r="H35" s="6" t="s">
        <v>341</v>
      </c>
      <c r="I35" s="6" t="s">
        <v>35</v>
      </c>
      <c r="J35" s="6" t="s">
        <v>226</v>
      </c>
      <c r="K35" s="6" t="s">
        <v>351</v>
      </c>
      <c r="L35" s="6" t="s">
        <v>352</v>
      </c>
      <c r="M35" s="6" t="s">
        <v>353</v>
      </c>
      <c r="N35" s="7" t="s">
        <v>40</v>
      </c>
    </row>
    <row r="36" customFormat="false" ht="35.05" hidden="false" customHeight="false" outlineLevel="0" collapsed="false">
      <c r="A36" s="6" t="s">
        <v>354</v>
      </c>
      <c r="B36" s="6" t="s">
        <v>335</v>
      </c>
      <c r="C36" s="6" t="s">
        <v>355</v>
      </c>
      <c r="D36" s="6" t="s">
        <v>356</v>
      </c>
      <c r="E36" s="6" t="s">
        <v>357</v>
      </c>
      <c r="F36" s="6" t="s">
        <v>358</v>
      </c>
      <c r="G36" s="6" t="s">
        <v>359</v>
      </c>
      <c r="H36" s="6" t="s">
        <v>341</v>
      </c>
      <c r="I36" s="6" t="s">
        <v>273</v>
      </c>
      <c r="J36" s="6" t="s">
        <v>274</v>
      </c>
      <c r="K36" s="6" t="s">
        <v>360</v>
      </c>
      <c r="L36" s="6" t="s">
        <v>361</v>
      </c>
      <c r="M36" s="6" t="s">
        <v>362</v>
      </c>
      <c r="N36" s="7" t="s">
        <v>40</v>
      </c>
    </row>
    <row r="37" customFormat="false" ht="23.85" hidden="false" customHeight="false" outlineLevel="0" collapsed="false">
      <c r="A37" s="6" t="s">
        <v>363</v>
      </c>
      <c r="B37" s="6" t="s">
        <v>335</v>
      </c>
      <c r="C37" s="6" t="s">
        <v>364</v>
      </c>
      <c r="D37" s="6" t="s">
        <v>365</v>
      </c>
      <c r="E37" s="6" t="s">
        <v>366</v>
      </c>
      <c r="F37" s="6" t="s">
        <v>367</v>
      </c>
      <c r="G37" s="6" t="s">
        <v>368</v>
      </c>
      <c r="H37" s="6" t="s">
        <v>341</v>
      </c>
      <c r="I37" s="6" t="s">
        <v>35</v>
      </c>
      <c r="J37" s="6" t="s">
        <v>114</v>
      </c>
      <c r="K37" s="6" t="s">
        <v>369</v>
      </c>
      <c r="L37" s="6" t="s">
        <v>247</v>
      </c>
      <c r="M37" s="6" t="s">
        <v>370</v>
      </c>
      <c r="N37" s="7" t="s">
        <v>40</v>
      </c>
    </row>
    <row r="38" customFormat="false" ht="23.85" hidden="false" customHeight="false" outlineLevel="0" collapsed="false">
      <c r="A38" s="6" t="s">
        <v>371</v>
      </c>
      <c r="B38" s="6" t="s">
        <v>335</v>
      </c>
      <c r="C38" s="6" t="s">
        <v>372</v>
      </c>
      <c r="D38" s="6" t="s">
        <v>373</v>
      </c>
      <c r="E38" s="6" t="s">
        <v>374</v>
      </c>
      <c r="F38" s="6" t="s">
        <v>375</v>
      </c>
      <c r="G38" s="6" t="s">
        <v>376</v>
      </c>
      <c r="H38" s="6" t="s">
        <v>341</v>
      </c>
      <c r="I38" s="6" t="s">
        <v>56</v>
      </c>
      <c r="J38" s="6" t="s">
        <v>226</v>
      </c>
      <c r="K38" s="6" t="s">
        <v>377</v>
      </c>
      <c r="L38" s="6" t="s">
        <v>247</v>
      </c>
      <c r="M38" s="6" t="s">
        <v>378</v>
      </c>
      <c r="N38" s="7" t="s">
        <v>40</v>
      </c>
    </row>
    <row r="39" customFormat="false" ht="23.85" hidden="false" customHeight="false" outlineLevel="0" collapsed="false">
      <c r="A39" s="6" t="s">
        <v>379</v>
      </c>
      <c r="B39" s="6" t="s">
        <v>335</v>
      </c>
      <c r="C39" s="6" t="s">
        <v>380</v>
      </c>
      <c r="D39" s="6" t="s">
        <v>381</v>
      </c>
      <c r="E39" s="6" t="s">
        <v>382</v>
      </c>
      <c r="F39" s="6" t="s">
        <v>383</v>
      </c>
      <c r="G39" s="6" t="s">
        <v>384</v>
      </c>
      <c r="H39" s="6" t="s">
        <v>341</v>
      </c>
      <c r="I39" s="6" t="s">
        <v>56</v>
      </c>
      <c r="J39" s="6" t="s">
        <v>114</v>
      </c>
      <c r="K39" s="6" t="s">
        <v>385</v>
      </c>
      <c r="L39" s="6" t="s">
        <v>386</v>
      </c>
      <c r="M39" s="6" t="s">
        <v>387</v>
      </c>
      <c r="N39" s="7" t="s">
        <v>40</v>
      </c>
    </row>
    <row r="40" customFormat="false" ht="23.85" hidden="false" customHeight="false" outlineLevel="0" collapsed="false">
      <c r="A40" s="6" t="s">
        <v>388</v>
      </c>
      <c r="B40" s="6" t="s">
        <v>335</v>
      </c>
      <c r="C40" s="6" t="s">
        <v>389</v>
      </c>
      <c r="D40" s="6" t="s">
        <v>390</v>
      </c>
      <c r="E40" s="6" t="s">
        <v>391</v>
      </c>
      <c r="F40" s="6" t="s">
        <v>392</v>
      </c>
      <c r="G40" s="6" t="s">
        <v>393</v>
      </c>
      <c r="H40" s="6" t="s">
        <v>341</v>
      </c>
      <c r="I40" s="6" t="s">
        <v>56</v>
      </c>
      <c r="J40" s="6" t="s">
        <v>84</v>
      </c>
      <c r="K40" s="6" t="s">
        <v>394</v>
      </c>
      <c r="L40" s="6" t="s">
        <v>395</v>
      </c>
      <c r="M40" s="6" t="s">
        <v>396</v>
      </c>
      <c r="N40" s="7" t="s">
        <v>40</v>
      </c>
    </row>
    <row r="41" customFormat="false" ht="23.85" hidden="false" customHeight="false" outlineLevel="0" collapsed="false">
      <c r="A41" s="6" t="s">
        <v>397</v>
      </c>
      <c r="B41" s="6" t="s">
        <v>335</v>
      </c>
      <c r="C41" s="6" t="s">
        <v>398</v>
      </c>
      <c r="D41" s="6" t="s">
        <v>399</v>
      </c>
      <c r="E41" s="6" t="s">
        <v>400</v>
      </c>
      <c r="F41" s="6" t="s">
        <v>392</v>
      </c>
      <c r="G41" s="6" t="s">
        <v>401</v>
      </c>
      <c r="H41" s="6" t="s">
        <v>341</v>
      </c>
      <c r="I41" s="6" t="s">
        <v>35</v>
      </c>
      <c r="J41" s="6" t="s">
        <v>274</v>
      </c>
      <c r="K41" s="6" t="s">
        <v>402</v>
      </c>
      <c r="L41" s="6" t="s">
        <v>403</v>
      </c>
      <c r="M41" s="6" t="s">
        <v>404</v>
      </c>
      <c r="N41" s="7" t="s">
        <v>40</v>
      </c>
    </row>
    <row r="42" customFormat="false" ht="23.85" hidden="false" customHeight="false" outlineLevel="0" collapsed="false">
      <c r="A42" s="6" t="s">
        <v>405</v>
      </c>
      <c r="B42" s="6" t="s">
        <v>335</v>
      </c>
      <c r="C42" s="6" t="s">
        <v>406</v>
      </c>
      <c r="D42" s="6" t="s">
        <v>407</v>
      </c>
      <c r="E42" s="6" t="s">
        <v>408</v>
      </c>
      <c r="F42" s="6" t="s">
        <v>409</v>
      </c>
      <c r="G42" s="6" t="s">
        <v>410</v>
      </c>
      <c r="H42" s="6" t="s">
        <v>341</v>
      </c>
      <c r="I42" s="6" t="s">
        <v>35</v>
      </c>
      <c r="J42" s="6" t="s">
        <v>411</v>
      </c>
      <c r="K42" s="6" t="s">
        <v>412</v>
      </c>
      <c r="L42" s="6" t="s">
        <v>307</v>
      </c>
      <c r="M42" s="6" t="s">
        <v>413</v>
      </c>
      <c r="N42" s="7" t="s">
        <v>40</v>
      </c>
    </row>
    <row r="43" customFormat="false" ht="15" hidden="false" customHeight="false" outlineLevel="0" collapsed="false">
      <c r="A43" s="6" t="s">
        <v>414</v>
      </c>
      <c r="B43" s="6" t="s">
        <v>335</v>
      </c>
      <c r="C43" s="6" t="s">
        <v>415</v>
      </c>
      <c r="D43" s="6" t="s">
        <v>416</v>
      </c>
      <c r="E43" s="6" t="s">
        <v>417</v>
      </c>
      <c r="F43" s="6" t="s">
        <v>418</v>
      </c>
      <c r="G43" s="6" t="s">
        <v>410</v>
      </c>
      <c r="H43" s="6" t="s">
        <v>341</v>
      </c>
      <c r="I43" s="6" t="s">
        <v>56</v>
      </c>
      <c r="J43" s="6" t="s">
        <v>84</v>
      </c>
      <c r="K43" s="6" t="s">
        <v>419</v>
      </c>
      <c r="L43" s="6" t="s">
        <v>420</v>
      </c>
      <c r="M43" s="6" t="s">
        <v>421</v>
      </c>
      <c r="N43" s="7" t="s">
        <v>40</v>
      </c>
    </row>
    <row r="44" customFormat="false" ht="15" hidden="false" customHeight="false" outlineLevel="0" collapsed="false">
      <c r="A44" s="6" t="s">
        <v>422</v>
      </c>
      <c r="B44" s="6" t="s">
        <v>423</v>
      </c>
      <c r="C44" s="6" t="s">
        <v>424</v>
      </c>
      <c r="D44" s="6" t="s">
        <v>425</v>
      </c>
      <c r="E44" s="6" t="s">
        <v>426</v>
      </c>
      <c r="F44" s="6" t="s">
        <v>427</v>
      </c>
      <c r="G44" s="6" t="s">
        <v>428</v>
      </c>
      <c r="H44" s="6" t="s">
        <v>429</v>
      </c>
      <c r="I44" s="6" t="s">
        <v>35</v>
      </c>
      <c r="J44" s="6" t="s">
        <v>36</v>
      </c>
      <c r="K44" s="6" t="s">
        <v>430</v>
      </c>
      <c r="L44" s="6" t="s">
        <v>431</v>
      </c>
      <c r="M44" s="6" t="s">
        <v>432</v>
      </c>
      <c r="N44" s="7" t="s">
        <v>40</v>
      </c>
    </row>
    <row r="45" customFormat="false" ht="15" hidden="false" customHeight="false" outlineLevel="0" collapsed="false">
      <c r="A45" s="6" t="s">
        <v>433</v>
      </c>
      <c r="B45" s="6" t="s">
        <v>423</v>
      </c>
      <c r="C45" s="6" t="s">
        <v>434</v>
      </c>
      <c r="D45" s="6" t="s">
        <v>435</v>
      </c>
      <c r="E45" s="6" t="s">
        <v>436</v>
      </c>
      <c r="F45" s="6" t="s">
        <v>437</v>
      </c>
      <c r="G45" s="6" t="s">
        <v>438</v>
      </c>
      <c r="H45" s="6" t="s">
        <v>429</v>
      </c>
      <c r="I45" s="6" t="s">
        <v>35</v>
      </c>
      <c r="J45" s="6" t="s">
        <v>36</v>
      </c>
      <c r="K45" s="6" t="s">
        <v>439</v>
      </c>
      <c r="L45" s="6" t="s">
        <v>440</v>
      </c>
      <c r="M45" s="6" t="s">
        <v>441</v>
      </c>
      <c r="N45" s="7" t="s">
        <v>40</v>
      </c>
    </row>
    <row r="46" customFormat="false" ht="15" hidden="false" customHeight="false" outlineLevel="0" collapsed="false">
      <c r="A46" s="6" t="s">
        <v>442</v>
      </c>
      <c r="B46" s="6" t="s">
        <v>423</v>
      </c>
      <c r="C46" s="6" t="s">
        <v>443</v>
      </c>
      <c r="D46" s="6" t="s">
        <v>444</v>
      </c>
      <c r="E46" s="6" t="s">
        <v>445</v>
      </c>
      <c r="F46" s="6" t="s">
        <v>446</v>
      </c>
      <c r="G46" s="6" t="s">
        <v>447</v>
      </c>
      <c r="H46" s="6" t="s">
        <v>429</v>
      </c>
      <c r="I46" s="6" t="s">
        <v>35</v>
      </c>
      <c r="J46" s="6" t="s">
        <v>74</v>
      </c>
      <c r="K46" s="6" t="s">
        <v>448</v>
      </c>
      <c r="L46" s="6" t="s">
        <v>449</v>
      </c>
      <c r="M46" s="6" t="s">
        <v>450</v>
      </c>
      <c r="N46" s="8" t="s">
        <v>88</v>
      </c>
    </row>
    <row r="47" customFormat="false" ht="23.85" hidden="false" customHeight="false" outlineLevel="0" collapsed="false">
      <c r="A47" s="6" t="s">
        <v>451</v>
      </c>
      <c r="B47" s="6" t="s">
        <v>423</v>
      </c>
      <c r="C47" s="6" t="s">
        <v>452</v>
      </c>
      <c r="D47" s="6" t="s">
        <v>453</v>
      </c>
      <c r="E47" s="6" t="s">
        <v>454</v>
      </c>
      <c r="F47" s="6" t="s">
        <v>455</v>
      </c>
      <c r="G47" s="6" t="s">
        <v>456</v>
      </c>
      <c r="H47" s="6" t="s">
        <v>429</v>
      </c>
      <c r="I47" s="6" t="s">
        <v>35</v>
      </c>
      <c r="J47" s="6" t="s">
        <v>263</v>
      </c>
      <c r="K47" s="6" t="s">
        <v>457</v>
      </c>
      <c r="L47" s="6" t="s">
        <v>458</v>
      </c>
      <c r="M47" s="6" t="s">
        <v>459</v>
      </c>
      <c r="N47" s="7" t="s">
        <v>40</v>
      </c>
    </row>
    <row r="48" customFormat="false" ht="15" hidden="false" customHeight="false" outlineLevel="0" collapsed="false">
      <c r="A48" s="6" t="s">
        <v>460</v>
      </c>
      <c r="B48" s="6" t="s">
        <v>423</v>
      </c>
      <c r="C48" s="6" t="s">
        <v>461</v>
      </c>
      <c r="D48" s="6" t="s">
        <v>462</v>
      </c>
      <c r="E48" s="6" t="s">
        <v>463</v>
      </c>
      <c r="F48" s="6" t="s">
        <v>464</v>
      </c>
      <c r="G48" s="6" t="s">
        <v>465</v>
      </c>
      <c r="H48" s="6" t="s">
        <v>429</v>
      </c>
      <c r="I48" s="6" t="s">
        <v>56</v>
      </c>
      <c r="J48" s="6" t="s">
        <v>74</v>
      </c>
      <c r="K48" s="6" t="s">
        <v>466</v>
      </c>
      <c r="L48" s="6" t="s">
        <v>467</v>
      </c>
      <c r="M48" s="6" t="s">
        <v>468</v>
      </c>
      <c r="N48" s="8" t="s">
        <v>88</v>
      </c>
    </row>
    <row r="49" customFormat="false" ht="15" hidden="false" customHeight="false" outlineLevel="0" collapsed="false">
      <c r="A49" s="6" t="s">
        <v>469</v>
      </c>
      <c r="B49" s="6" t="s">
        <v>423</v>
      </c>
      <c r="C49" s="6" t="s">
        <v>470</v>
      </c>
      <c r="D49" s="6" t="s">
        <v>471</v>
      </c>
      <c r="E49" s="6" t="s">
        <v>472</v>
      </c>
      <c r="F49" s="6" t="s">
        <v>473</v>
      </c>
      <c r="G49" s="6" t="s">
        <v>474</v>
      </c>
      <c r="H49" s="6" t="s">
        <v>429</v>
      </c>
      <c r="I49" s="6" t="s">
        <v>56</v>
      </c>
      <c r="J49" s="6" t="s">
        <v>48</v>
      </c>
      <c r="K49" s="6" t="s">
        <v>475</v>
      </c>
      <c r="L49" s="6" t="s">
        <v>476</v>
      </c>
      <c r="M49" s="6" t="s">
        <v>257</v>
      </c>
      <c r="N49" s="7" t="s">
        <v>40</v>
      </c>
    </row>
    <row r="50" customFormat="false" ht="15" hidden="false" customHeight="false" outlineLevel="0" collapsed="false">
      <c r="A50" s="6" t="s">
        <v>477</v>
      </c>
      <c r="B50" s="6" t="s">
        <v>478</v>
      </c>
      <c r="C50" s="6" t="s">
        <v>479</v>
      </c>
      <c r="D50" s="6" t="s">
        <v>480</v>
      </c>
      <c r="E50" s="6" t="s">
        <v>481</v>
      </c>
      <c r="F50" s="6" t="s">
        <v>482</v>
      </c>
      <c r="G50" s="6" t="s">
        <v>483</v>
      </c>
      <c r="H50" s="6" t="s">
        <v>484</v>
      </c>
      <c r="I50" s="6" t="s">
        <v>35</v>
      </c>
      <c r="J50" s="6" t="s">
        <v>485</v>
      </c>
      <c r="K50" s="6" t="s">
        <v>486</v>
      </c>
      <c r="L50" s="6" t="s">
        <v>487</v>
      </c>
      <c r="M50" s="6" t="s">
        <v>488</v>
      </c>
      <c r="N50" s="8" t="s">
        <v>88</v>
      </c>
    </row>
    <row r="51" customFormat="false" ht="15" hidden="false" customHeight="false" outlineLevel="0" collapsed="false">
      <c r="A51" s="6" t="s">
        <v>489</v>
      </c>
      <c r="B51" s="6" t="s">
        <v>478</v>
      </c>
      <c r="C51" s="6" t="s">
        <v>490</v>
      </c>
      <c r="D51" s="6" t="s">
        <v>491</v>
      </c>
      <c r="E51" s="6" t="s">
        <v>492</v>
      </c>
      <c r="F51" s="6" t="s">
        <v>493</v>
      </c>
      <c r="G51" s="6" t="s">
        <v>483</v>
      </c>
      <c r="H51" s="6" t="s">
        <v>484</v>
      </c>
      <c r="I51" s="6" t="s">
        <v>56</v>
      </c>
      <c r="J51" s="6" t="s">
        <v>485</v>
      </c>
      <c r="K51" s="6" t="s">
        <v>494</v>
      </c>
      <c r="L51" s="6" t="s">
        <v>495</v>
      </c>
      <c r="M51" s="6" t="s">
        <v>496</v>
      </c>
      <c r="N51" s="8" t="s">
        <v>88</v>
      </c>
    </row>
    <row r="52" customFormat="false" ht="46.25" hidden="false" customHeight="false" outlineLevel="0" collapsed="false">
      <c r="A52" s="6" t="s">
        <v>497</v>
      </c>
      <c r="B52" s="6" t="s">
        <v>478</v>
      </c>
      <c r="C52" s="6" t="s">
        <v>498</v>
      </c>
      <c r="D52" s="6" t="s">
        <v>499</v>
      </c>
      <c r="E52" s="6" t="s">
        <v>500</v>
      </c>
      <c r="F52" s="6" t="s">
        <v>501</v>
      </c>
      <c r="G52" s="6" t="s">
        <v>502</v>
      </c>
      <c r="H52" s="6" t="s">
        <v>47</v>
      </c>
      <c r="I52" s="6" t="s">
        <v>56</v>
      </c>
      <c r="J52" s="6" t="s">
        <v>485</v>
      </c>
      <c r="K52" s="6" t="s">
        <v>503</v>
      </c>
      <c r="L52" s="6" t="s">
        <v>504</v>
      </c>
      <c r="M52" s="6" t="s">
        <v>505</v>
      </c>
      <c r="N52" s="8" t="s">
        <v>88</v>
      </c>
    </row>
    <row r="53" customFormat="false" ht="23.85" hidden="false" customHeight="false" outlineLevel="0" collapsed="false">
      <c r="A53" s="6" t="s">
        <v>506</v>
      </c>
      <c r="B53" s="6" t="s">
        <v>507</v>
      </c>
      <c r="C53" s="6" t="s">
        <v>508</v>
      </c>
      <c r="D53" s="6" t="s">
        <v>509</v>
      </c>
      <c r="E53" s="6" t="s">
        <v>510</v>
      </c>
      <c r="F53" s="6" t="s">
        <v>511</v>
      </c>
      <c r="G53" s="6" t="s">
        <v>305</v>
      </c>
      <c r="H53" s="6" t="s">
        <v>295</v>
      </c>
      <c r="I53" s="6" t="s">
        <v>35</v>
      </c>
      <c r="J53" s="6" t="s">
        <v>296</v>
      </c>
      <c r="K53" s="6" t="s">
        <v>512</v>
      </c>
      <c r="L53" s="6" t="s">
        <v>513</v>
      </c>
      <c r="M53" s="6" t="s">
        <v>514</v>
      </c>
      <c r="N53" s="8" t="s">
        <v>88</v>
      </c>
    </row>
    <row r="54" customFormat="false" ht="23.85" hidden="false" customHeight="false" outlineLevel="0" collapsed="false">
      <c r="A54" s="6" t="s">
        <v>515</v>
      </c>
      <c r="B54" s="6" t="s">
        <v>507</v>
      </c>
      <c r="C54" s="6" t="s">
        <v>516</v>
      </c>
      <c r="D54" s="6" t="s">
        <v>517</v>
      </c>
      <c r="E54" s="6" t="s">
        <v>518</v>
      </c>
      <c r="F54" s="6" t="s">
        <v>519</v>
      </c>
      <c r="G54" s="6" t="s">
        <v>520</v>
      </c>
      <c r="H54" s="6" t="s">
        <v>521</v>
      </c>
      <c r="I54" s="6" t="s">
        <v>56</v>
      </c>
      <c r="J54" s="6" t="s">
        <v>522</v>
      </c>
      <c r="K54" s="6" t="s">
        <v>523</v>
      </c>
      <c r="L54" s="6" t="s">
        <v>524</v>
      </c>
      <c r="M54" s="6" t="s">
        <v>525</v>
      </c>
      <c r="N54" s="8" t="s">
        <v>88</v>
      </c>
    </row>
    <row r="55" customFormat="false" ht="23.85" hidden="false" customHeight="false" outlineLevel="0" collapsed="false">
      <c r="A55" s="6" t="s">
        <v>526</v>
      </c>
      <c r="B55" s="6" t="s">
        <v>507</v>
      </c>
      <c r="C55" s="6" t="s">
        <v>527</v>
      </c>
      <c r="D55" s="6" t="s">
        <v>528</v>
      </c>
      <c r="E55" s="6" t="s">
        <v>529</v>
      </c>
      <c r="F55" s="6" t="s">
        <v>530</v>
      </c>
      <c r="G55" s="6" t="s">
        <v>83</v>
      </c>
      <c r="H55" s="6" t="s">
        <v>47</v>
      </c>
      <c r="I55" s="6" t="s">
        <v>35</v>
      </c>
      <c r="J55" s="6" t="s">
        <v>531</v>
      </c>
      <c r="K55" s="6" t="s">
        <v>532</v>
      </c>
      <c r="L55" s="6" t="s">
        <v>533</v>
      </c>
      <c r="M55" s="6" t="s">
        <v>534</v>
      </c>
      <c r="N55" s="7" t="s">
        <v>40</v>
      </c>
    </row>
  </sheetData>
  <autoFilter ref="A1:N5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</cols>
  <sheetData>
    <row r="1" customFormat="false" ht="15" hidden="false" customHeight="false" outlineLevel="0" collapsed="false">
      <c r="A1" s="9" t="s">
        <v>14</v>
      </c>
      <c r="B1" s="9" t="s">
        <v>535</v>
      </c>
      <c r="C1" s="9" t="s">
        <v>88</v>
      </c>
    </row>
    <row r="2" customFormat="false" ht="15" hidden="false" customHeight="false" outlineLevel="0" collapsed="false">
      <c r="A2" s="10" t="s">
        <v>28</v>
      </c>
      <c r="B2" s="10" t="n">
        <f aca="false">COUNTIF(KPI_Catalogue!B:B,A2)</f>
        <v>10</v>
      </c>
      <c r="C2" s="10" t="n">
        <f aca="false">COUNTIFS(KPI_Catalogue!B:B,A2,KPI_Catalogue!N:N,"To Be Verified")</f>
        <v>2</v>
      </c>
    </row>
    <row r="3" customFormat="false" ht="15" hidden="false" customHeight="false" outlineLevel="0" collapsed="false">
      <c r="A3" s="10" t="s">
        <v>127</v>
      </c>
      <c r="B3" s="10" t="n">
        <f aca="false">COUNTIF(KPI_Catalogue!B:B,A3)</f>
        <v>10</v>
      </c>
      <c r="C3" s="10" t="n">
        <f aca="false">COUNTIFS(KPI_Catalogue!B:B,A3,KPI_Catalogue!N:N,"To Be Verified")</f>
        <v>0</v>
      </c>
    </row>
    <row r="4" customFormat="false" ht="15" hidden="false" customHeight="false" outlineLevel="0" collapsed="false">
      <c r="A4" s="10" t="s">
        <v>219</v>
      </c>
      <c r="B4" s="10" t="n">
        <f aca="false">COUNTIF(KPI_Catalogue!B:B,A4)</f>
        <v>7</v>
      </c>
      <c r="C4" s="10" t="n">
        <f aca="false">COUNTIFS(KPI_Catalogue!B:B,A4,KPI_Catalogue!N:N,"To Be Verified")</f>
        <v>1</v>
      </c>
    </row>
    <row r="5" customFormat="false" ht="15" hidden="false" customHeight="false" outlineLevel="0" collapsed="false">
      <c r="A5" s="10" t="s">
        <v>289</v>
      </c>
      <c r="B5" s="10" t="n">
        <f aca="false">COUNTIF(KPI_Catalogue!B:B,A5)</f>
        <v>5</v>
      </c>
      <c r="C5" s="10" t="n">
        <f aca="false">COUNTIFS(KPI_Catalogue!B:B,A5,KPI_Catalogue!N:N,"To Be Verified")</f>
        <v>2</v>
      </c>
    </row>
    <row r="6" customFormat="false" ht="15" hidden="false" customHeight="false" outlineLevel="0" collapsed="false">
      <c r="A6" s="10" t="s">
        <v>335</v>
      </c>
      <c r="B6" s="10" t="n">
        <f aca="false">COUNTIF(KPI_Catalogue!B:B,A6)</f>
        <v>10</v>
      </c>
      <c r="C6" s="10" t="n">
        <f aca="false">COUNTIFS(KPI_Catalogue!B:B,A6,KPI_Catalogue!N:N,"To Be Verified")</f>
        <v>0</v>
      </c>
    </row>
    <row r="7" customFormat="false" ht="15" hidden="false" customHeight="false" outlineLevel="0" collapsed="false">
      <c r="A7" s="10" t="s">
        <v>423</v>
      </c>
      <c r="B7" s="10" t="n">
        <f aca="false">COUNTIF(KPI_Catalogue!B:B,A7)</f>
        <v>6</v>
      </c>
      <c r="C7" s="10" t="n">
        <f aca="false">COUNTIFS(KPI_Catalogue!B:B,A7,KPI_Catalogue!N:N,"To Be Verified")</f>
        <v>2</v>
      </c>
    </row>
    <row r="8" customFormat="false" ht="15" hidden="false" customHeight="false" outlineLevel="0" collapsed="false">
      <c r="A8" s="10" t="s">
        <v>478</v>
      </c>
      <c r="B8" s="10" t="n">
        <f aca="false">COUNTIF(KPI_Catalogue!B:B,A8)</f>
        <v>3</v>
      </c>
      <c r="C8" s="10" t="n">
        <f aca="false">COUNTIFS(KPI_Catalogue!B:B,A8,KPI_Catalogue!N:N,"To Be Verified")</f>
        <v>3</v>
      </c>
    </row>
    <row r="9" customFormat="false" ht="15" hidden="false" customHeight="false" outlineLevel="0" collapsed="false">
      <c r="A9" s="10" t="s">
        <v>507</v>
      </c>
      <c r="B9" s="10" t="n">
        <f aca="false">COUNTIF(KPI_Catalogue!B:B,A9)</f>
        <v>3</v>
      </c>
      <c r="C9" s="10" t="n">
        <f aca="false">COUNTIFS(KPI_Catalogue!B:B,A9,KPI_Catalogue!N:N,"To Be Verified")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2026-10-13T06:04:36Z</dcterms:created>
  <dc:creator>openpyxl</dc:creator>
  <dc:description/>
  <dc:language>en-US</dc:language>
  <cp:lastModifiedBy/>
  <dcterms:modified xsi:type="dcterms:W3CDTF">2026-10-13T06:04:36Z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