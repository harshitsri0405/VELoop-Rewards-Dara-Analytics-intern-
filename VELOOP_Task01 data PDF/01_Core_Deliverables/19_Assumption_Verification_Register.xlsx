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ssumption_Register" sheetId="2" state="visible" r:id="rId4"/>
    <sheet name="Sources_Update" sheetId="3" state="visible" r:id="rId5"/>
    <sheet name="Summary_Risk_Status" sheetId="4" state="visible" r:id="rId6"/>
    <sheet name="Summary_Needed_By" sheetId="5" state="visible" r:id="rId7"/>
  </sheets>
  <definedNames>
    <definedName function="false" hidden="true" localSheetId="1" name="_xlnm._FilterDatabase" vbProcedure="false">Assumption_Register!$A$1:$N$51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<sst xmlns="http://schemas.openxmlformats.org/spreadsheetml/2006/main" count="731" uniqueCount="358">
  <si>
    <t xml:space="preserve">VELOOP REWARDS - Task 01 | Assumption and Verification Register (Work Package S)</t>
  </si>
  <si>
    <t xml:space="preserve">Whenever something is not known, it is recorded here instead of guessed. Statuses: To Be Verified (unknown), Proposed (a proposal awaits a decision), Confirmed (verified with evidence). Only items verified by evidence are Confirmed (A017 and A043, from the supplied file); nothing about VELOOP's product is Confirmed yet.</t>
  </si>
  <si>
    <t xml:space="preserve">This register supersedes the Assumption_Register sheet in the Source and Verification Register (file 01); A001 to A018 keep their IDs. New unknowns A019 to A050 came from later work packages and the dataset work.</t>
  </si>
  <si>
    <t xml:space="preserve">'Referenced In' lists the documents that cite each ID. 'Related Gaps' links to the analytics gaps (G##) and readiness gaps (RG-##).</t>
  </si>
  <si>
    <t xml:space="preserve">To close an item: fill Resolution and Date Closed, change Status to Confirmed, and record any definition change in the change log (Work Package Q).</t>
  </si>
  <si>
    <t xml:space="preserve">Live counts</t>
  </si>
  <si>
    <t xml:space="preserve">Assumptions registered</t>
  </si>
  <si>
    <t xml:space="preserve">Critical risk</t>
  </si>
  <si>
    <t xml:space="preserve">Confirmed</t>
  </si>
  <si>
    <t xml:space="preserve">To Be Verified</t>
  </si>
  <si>
    <t xml:space="preserve">Proposed (awaiting decision)</t>
  </si>
  <si>
    <t xml:space="preserve">Sources recorded</t>
  </si>
  <si>
    <t xml:space="preserve">ID</t>
  </si>
  <si>
    <t xml:space="preserve">Unknown</t>
  </si>
  <si>
    <t xml:space="preserve">Why It Matters</t>
  </si>
  <si>
    <t xml:space="preserve">Source Checked</t>
  </si>
  <si>
    <t xml:space="preserve">Risk</t>
  </si>
  <si>
    <t xml:space="preserve">Verification Owner</t>
  </si>
  <si>
    <t xml:space="preserve">Status</t>
  </si>
  <si>
    <t xml:space="preserve">Raised In</t>
  </si>
  <si>
    <t xml:space="preserve">Needed By</t>
  </si>
  <si>
    <t xml:space="preserve">Related Gaps</t>
  </si>
  <si>
    <t xml:space="preserve">Evidence Needed to Close</t>
  </si>
  <si>
    <t xml:space="preserve">Referenced In</t>
  </si>
  <si>
    <t xml:space="preserve">Resolution</t>
  </si>
  <si>
    <t xml:space="preserve">Date Closed</t>
  </si>
  <si>
    <t xml:space="preserve">A001</t>
  </si>
  <si>
    <t xml:space="preserve">Does the backend currently emit task completion events?</t>
  </si>
  <si>
    <t xml:space="preserve">Required for all task analytics</t>
  </si>
  <si>
    <t xml:space="preserve">Task brief</t>
  </si>
  <si>
    <t xml:space="preserve">High</t>
  </si>
  <si>
    <t xml:space="preserve">Engineering</t>
  </si>
  <si>
    <t xml:space="preserve">Step 1 (source register)</t>
  </si>
  <si>
    <t xml:space="preserve">Pre-launch</t>
  </si>
  <si>
    <t xml:space="preserve">G03, G09, RG-01</t>
  </si>
  <si>
    <t xml:space="preserve">Engineering confirms with a code reference, schema or sample record</t>
  </si>
  <si>
    <t xml:space="preserve">Developer Handoff, Earning and Reward, Event Tracking Plan, Implementation Backlog, Logical Data Model, Product Data Audit, Readiness Assessment</t>
  </si>
  <si>
    <t xml:space="preserve">A002</t>
  </si>
  <si>
    <t xml:space="preserve">Which reward units actually exist today (VE, XP, Gems, Tokens, Spins) and do they convert into each other?</t>
  </si>
  <si>
    <t xml:space="preserve">Defines reward_unit values, wallet model and exchange analytics</t>
  </si>
  <si>
    <t xml:space="preserve">Critical</t>
  </si>
  <si>
    <t xml:space="preserve">Product / Engineering</t>
  </si>
  <si>
    <t xml:space="preserve">G04, RG-07, RG-12</t>
  </si>
  <si>
    <t xml:space="preserve">Engineering confirms with a code reference, schema or sample record; Written decision or confirmation from the data owner, recorded in the change log</t>
  </si>
  <si>
    <t xml:space="preserve">Developer Handoff, Earning and Reward, Event Tracking Plan, Implementation Backlog, KPI Catalogue, Product Data Audit, Quality Framework, Readiness Assessment, Referral and Engagement, Wallet and Withdrawal</t>
  </si>
  <si>
    <t xml:space="preserve">A003</t>
  </si>
  <si>
    <t xml:space="preserve">Is a stable user_id issued at registration and kept across devices and login methods?</t>
  </si>
  <si>
    <t xml:space="preserve">Needed for any cross-event or retention analysis</t>
  </si>
  <si>
    <t xml:space="preserve">G01, RG-04</t>
  </si>
  <si>
    <t xml:space="preserve">Developer Handoff, Implementation Backlog, KPI Catalogue, Product Data Audit, Readiness Assessment, Referral and Engagement, User Analytics</t>
  </si>
  <si>
    <t xml:space="preserve">A004</t>
  </si>
  <si>
    <t xml:space="preserve">Is a session identifier currently stored?</t>
  </si>
  <si>
    <t xml:space="preserve">Needed for session-level analysis; proposed only until confirmed</t>
  </si>
  <si>
    <t xml:space="preserve">Medium</t>
  </si>
  <si>
    <t xml:space="preserve">Before the related dashboard</t>
  </si>
  <si>
    <t xml:space="preserve">G08</t>
  </si>
  <si>
    <t xml:space="preserve">Developer Handoff, Implementation Backlog, KPI Catalogue, Product Data Audit, User Analytics</t>
  </si>
  <si>
    <t xml:space="preserve">A005</t>
  </si>
  <si>
    <t xml:space="preserve">Does every wallet transaction have a unique transaction ID, and is writing it idempotent?</t>
  </si>
  <si>
    <t xml:space="preserve">Without it, wallet deduplication cannot be guaranteed</t>
  </si>
  <si>
    <t xml:space="preserve">G02, RG-04, RG-19</t>
  </si>
  <si>
    <t xml:space="preserve">Developer Handoff, Event Tracking Plan, Implementation Backlog, KPI Catalogue, Logical Data Model, Product Data Audit, Readiness Assessment</t>
  </si>
  <si>
    <t xml:space="preserve">A006</t>
  </si>
  <si>
    <t xml:space="preserve">Which withdrawal methods exist and which statuses does a withdrawal pass through?</t>
  </si>
  <si>
    <t xml:space="preserve">Defines withdrawal lifecycle, method distribution KPI</t>
  </si>
  <si>
    <t xml:space="preserve">Product / Operations</t>
  </si>
  <si>
    <t xml:space="preserve">G06, RG-05, RG-07</t>
  </si>
  <si>
    <t xml:space="preserve">Written decision or confirmation from the data owner, recorded in the change log; Written confirmation from Operations or Finance</t>
  </si>
  <si>
    <t xml:space="preserve">Developer Handoff, Event Tracking Plan, Implementation Backlog, KPI Catalogue, Product Data Audit, Readiness Assessment, Wallet and Withdrawal</t>
  </si>
  <si>
    <t xml:space="preserve">A007</t>
  </si>
  <si>
    <t xml:space="preserve">Are withdrawals reviewed manually, automatically, or both?</t>
  </si>
  <si>
    <t xml:space="preserve">Affects processing-time KPIs and reason categories</t>
  </si>
  <si>
    <t xml:space="preserve">Operations</t>
  </si>
  <si>
    <t xml:space="preserve">G06, G09, RG-05</t>
  </si>
  <si>
    <t xml:space="preserve">Written confirmation from Operations or Finance</t>
  </si>
  <si>
    <t xml:space="preserve">Implementation Backlog, Product Data Audit, Readiness Assessment, Wallet and Withdrawal</t>
  </si>
  <si>
    <t xml:space="preserve">A008</t>
  </si>
  <si>
    <t xml:space="preserve">Which earning features are live vs planned (Watch Ads, Tap &amp; Earn, Mining, Spin, Missions, Daily Rewards)?</t>
  </si>
  <si>
    <t xml:space="preserve">Prevents designing events for features that do not exist</t>
  </si>
  <si>
    <t xml:space="preserve">Product</t>
  </si>
  <si>
    <t xml:space="preserve">G13</t>
  </si>
  <si>
    <t xml:space="preserve">Written decision or confirmation from the data owner, recorded in the change log</t>
  </si>
  <si>
    <t xml:space="preserve">Implementation Backlog, Product Data Audit</t>
  </si>
  <si>
    <t xml:space="preserve">A009</t>
  </si>
  <si>
    <t xml:space="preserve">Which third-party providers (ads, surveys, offers, games) are used and what callbacks/postbacks do they return?</t>
  </si>
  <si>
    <t xml:space="preserve">External systems affect data completeness and validation</t>
  </si>
  <si>
    <t xml:space="preserve">G10, RG-21</t>
  </si>
  <si>
    <t xml:space="preserve">Earning and Reward, Implementation Backlog, Product Data Audit, Readiness Assessment, Wallet and Withdrawal</t>
  </si>
  <si>
    <t xml:space="preserve">A010</t>
  </si>
  <si>
    <t xml:space="preserve">What exactly counts as an 'activated' referred user?</t>
  </si>
  <si>
    <t xml:space="preserve">Needed to separate registration from referral conversion</t>
  </si>
  <si>
    <t xml:space="preserve">G07, RG-10, RG-18</t>
  </si>
  <si>
    <t xml:space="preserve">Developer Handoff, Implementation Backlog, KPI Catalogue, Logical Data Model, Product Data Audit, Readiness Assessment, Referral and Engagement, User Analytics</t>
  </si>
  <si>
    <t xml:space="preserve">A011</t>
  </si>
  <si>
    <t xml:space="preserve">Where is data stored today (production DB, analytics tool, none)?</t>
  </si>
  <si>
    <t xml:space="preserve">Drives pipeline design and raw-layer choice</t>
  </si>
  <si>
    <t xml:space="preserve">G14, RG-06, RG-20, RG-30</t>
  </si>
  <si>
    <t xml:space="preserve">Developer Handoff, Event Tracking Plan, Implementation Backlog, Pipeline, Privacy and Governance, Product Data Audit, Readiness Assessment</t>
  </si>
  <si>
    <t xml:space="preserve">A012</t>
  </si>
  <si>
    <t xml:space="preserve">What timestamp format and timezone does the system use?</t>
  </si>
  <si>
    <t xml:space="preserve">Needed for daily/active-user KPIs and timestamp validation</t>
  </si>
  <si>
    <t xml:space="preserve">G11, RG-11, RG-22</t>
  </si>
  <si>
    <t xml:space="preserve">Dashboard Blueprint, Implementation Backlog, KPI Catalogue, Product Data Audit, Quality Framework, Readiness Assessment, Referral and Engagement, Simulated Data Profiling, User Analytics</t>
  </si>
  <si>
    <t xml:space="preserve">A013</t>
  </si>
  <si>
    <t xml:space="preserve">Can rewards be reversed or corrected in the current system, and how is it recorded?</t>
  </si>
  <si>
    <t xml:space="preserve">Needed for reward_reversed / corrected events</t>
  </si>
  <si>
    <t xml:space="preserve">Engineering / Operations</t>
  </si>
  <si>
    <t xml:space="preserve">G05, RG-18</t>
  </si>
  <si>
    <t xml:space="preserve">Engineering confirms with a code reference, schema or sample record; Written confirmation from Operations or Finance</t>
  </si>
  <si>
    <t xml:space="preserve">Earning and Reward, Implementation Backlog, Product Data Audit, Readiness Assessment, Referral and Engagement</t>
  </si>
  <si>
    <t xml:space="preserve">A014</t>
  </si>
  <si>
    <t xml:space="preserve">How is registration source captured (referral code, UTM, store, organic)?</t>
  </si>
  <si>
    <t xml:space="preserve">Needed for acquisition analysis</t>
  </si>
  <si>
    <t xml:space="preserve">Engineering / Marketing</t>
  </si>
  <si>
    <t xml:space="preserve">G12</t>
  </si>
  <si>
    <t xml:space="preserve">A015</t>
  </si>
  <si>
    <t xml:space="preserve">Does a support ticket or Help Center system exist, and does it record issue categories?</t>
  </si>
  <si>
    <t xml:space="preserve">Needed for support/content KPIs</t>
  </si>
  <si>
    <t xml:space="preserve">Low</t>
  </si>
  <si>
    <t xml:space="preserve">Support / Product</t>
  </si>
  <si>
    <t xml:space="preserve">Post-launch</t>
  </si>
  <si>
    <t xml:space="preserve">G15</t>
  </si>
  <si>
    <t xml:space="preserve">Implementation Backlog, KPI Catalogue, Product Data Audit</t>
  </si>
  <si>
    <t xml:space="preserve">A016</t>
  </si>
  <si>
    <t xml:space="preserve">Which user geographies and privacy rules apply (consent, retention)?</t>
  </si>
  <si>
    <t xml:space="preserve">Governance and privacy proposal depends on it</t>
  </si>
  <si>
    <t xml:space="preserve">Legal / Product</t>
  </si>
  <si>
    <t xml:space="preserve">RG-25</t>
  </si>
  <si>
    <t xml:space="preserve">Written Legal guidance; Written decision or confirmation from the data owner, recorded in the change log</t>
  </si>
  <si>
    <t xml:space="preserve">Implementation Backlog, Privacy and Governance, Readiness Assessment</t>
  </si>
  <si>
    <t xml:space="preserve">A017</t>
  </si>
  <si>
    <t xml:space="preserve">What are the real sheet names, columns and row counts of the simulated dataset in the Drive folder?</t>
  </si>
  <si>
    <t xml:space="preserve">Profiling and KPI tests depend on actual structure</t>
  </si>
  <si>
    <t xml:space="preserve">Data Analyst (me)</t>
  </si>
  <si>
    <t xml:space="preserve">-</t>
  </si>
  <si>
    <t xml:space="preserve">Checked against the dataset and documented</t>
  </si>
  <si>
    <t xml:space="preserve">Implementation Backlog, Readiness Assessment</t>
  </si>
  <si>
    <t xml:space="preserve">The dataset file was received and inspected: sheets Users_1000_Clean, Users_Messy_Audit, Data_Dictionary, Synthetic_Summary and README_Data_Status; 1,000 and 1,008 user rows; 25 documented fields (27 columns present). See Deliverable 12.</t>
  </si>
  <si>
    <t xml:space="preserve">(enter on approval)</t>
  </si>
  <si>
    <t xml:space="preserve">A018</t>
  </si>
  <si>
    <t xml:space="preserve">Where is the official VELOOP product documentation?</t>
  </si>
  <si>
    <t xml:space="preserve">All 'Confirmed' product facts need an official source</t>
  </si>
  <si>
    <t xml:space="preserve">Web search (no official result)</t>
  </si>
  <si>
    <t xml:space="preserve">Mentor / Product team</t>
  </si>
  <si>
    <t xml:space="preserve">RG-27</t>
  </si>
  <si>
    <t xml:space="preserve">Written decision or confirmation from the data owner, recorded in the change log; Dataset or documentation supplied and opened</t>
  </si>
  <si>
    <t xml:space="preserve">Implementation Backlog, Product Data Audit, Readiness Assessment</t>
  </si>
  <si>
    <t xml:space="preserve">A019</t>
  </si>
  <si>
    <t xml:space="preserve">Which account statuses and onboarding steps exist in the product?</t>
  </si>
  <si>
    <t xml:space="preserve">Defines account_status values, lifecycle stages and the onboarding funnel</t>
  </si>
  <si>
    <t xml:space="preserve">Work Package B</t>
  </si>
  <si>
    <t xml:space="preserve">Data Quality Audit, Developer Handoff, Implementation Backlog, KPI Catalogue, Simulated Data Profiling, User Analytics</t>
  </si>
  <si>
    <t xml:space="preserve">A020</t>
  </si>
  <si>
    <t xml:space="preserve">Does a pending reward state exist, and does a pending reward have its own record?</t>
  </si>
  <si>
    <t xml:space="preserve">Pending Rewards KPI and the reward_pending event depend on it</t>
  </si>
  <si>
    <t xml:space="preserve">Work Package C</t>
  </si>
  <si>
    <t xml:space="preserve">RG-23</t>
  </si>
  <si>
    <t xml:space="preserve">Earning and Reward, Implementation Backlog, KPI Catalogue, Logical Data Model, Readiness Assessment</t>
  </si>
  <si>
    <t xml:space="preserve">A021</t>
  </si>
  <si>
    <t xml:space="preserve">Which events exist today, and which component emits each?</t>
  </si>
  <si>
    <t xml:space="preserve">Decides what is reused and what must be built</t>
  </si>
  <si>
    <t xml:space="preserve">Work Package F</t>
  </si>
  <si>
    <t xml:space="preserve">RG-01, RG-02, RG-16, RG-29</t>
  </si>
  <si>
    <t xml:space="preserve">A022</t>
  </si>
  <si>
    <t xml:space="preserve">Which approved lists (statuses, units, methods, categories) will be used, and where do they live?</t>
  </si>
  <si>
    <t xml:space="preserve">Validation rules DQ009 and DQ014 need one source of approved values</t>
  </si>
  <si>
    <t xml:space="preserve">Work Package G</t>
  </si>
  <si>
    <t xml:space="preserve">RG-07, RG-08</t>
  </si>
  <si>
    <t xml:space="preserve">Data Quality Audit, Implementation Backlog, Readiness Assessment, Simulated Data Profiling</t>
  </si>
  <si>
    <t xml:space="preserve">A023</t>
  </si>
  <si>
    <t xml:space="preserve">Which idempotency and retry design will events and wallet writes use?</t>
  </si>
  <si>
    <t xml:space="preserve">Prevents duplicate events and duplicate wallet entries</t>
  </si>
  <si>
    <t xml:space="preserve">Work Package N</t>
  </si>
  <si>
    <t xml:space="preserve">RG-19</t>
  </si>
  <si>
    <t xml:space="preserve">A024</t>
  </si>
  <si>
    <t xml:space="preserve">Which events qualify a user as 'active', and what is the activity window?</t>
  </si>
  <si>
    <t xml:space="preserve">DAU, WAU, MAU, returning and inactive users depend on it</t>
  </si>
  <si>
    <t xml:space="preserve">Work Package E</t>
  </si>
  <si>
    <t xml:space="preserve">Proposed</t>
  </si>
  <si>
    <t xml:space="preserve">Stakeholder decision</t>
  </si>
  <si>
    <t xml:space="preserve">RG-09</t>
  </si>
  <si>
    <t xml:space="preserve">Implementation Backlog, Readiness Assessment, Simulated Data Profiling</t>
  </si>
  <si>
    <t xml:space="preserve">A025</t>
  </si>
  <si>
    <t xml:space="preserve">Can a user have only one referrer, and can referrals be closed or disqualified by category?</t>
  </si>
  <si>
    <t xml:space="preserve">Referral integrity rules and the closed status</t>
  </si>
  <si>
    <t xml:space="preserve">Implementation Backlog</t>
  </si>
  <si>
    <t xml:space="preserve">A026</t>
  </si>
  <si>
    <t xml:space="preserve">Is the withdrawal amount held at request time or debited on completion?</t>
  </si>
  <si>
    <t xml:space="preserve">Changes balance and pending-queue logic</t>
  </si>
  <si>
    <t xml:space="preserve">Work Package D</t>
  </si>
  <si>
    <t xml:space="preserve">A027</t>
  </si>
  <si>
    <t xml:space="preserve">Are there withdrawal fees, limits or minimum amounts?</t>
  </si>
  <si>
    <t xml:space="preserve">completed_amount versus requested_amount validation</t>
  </si>
  <si>
    <t xml:space="preserve">Operations / Finance</t>
  </si>
  <si>
    <t xml:space="preserve">A028</t>
  </si>
  <si>
    <t xml:space="preserve">Can a user cancel a withdrawal before processing?</t>
  </si>
  <si>
    <t xml:space="preserve">withdrawal_cancelled event and completion rate</t>
  </si>
  <si>
    <t xml:space="preserve">A029</t>
  </si>
  <si>
    <t xml:space="preserve">Is the wallet an append-only ledger, or are balances edited in place?</t>
  </si>
  <si>
    <t xml:space="preserve">Decides whether balance reconciliation (DQ031) is possible</t>
  </si>
  <si>
    <t xml:space="preserve">RG-18</t>
  </si>
  <si>
    <t xml:space="preserve">A030</t>
  </si>
  <si>
    <t xml:space="preserve">Is there a separate redemption or exchange record in the product?</t>
  </si>
  <si>
    <t xml:space="preserve">Redemption and exchange KPIs, and whether a new entity is needed</t>
  </si>
  <si>
    <t xml:space="preserve">Work Package H</t>
  </si>
  <si>
    <t xml:space="preserve">A031</t>
  </si>
  <si>
    <t xml:space="preserve">Are task attempts stored today, or only completions?</t>
  </si>
  <si>
    <t xml:space="preserve">Grain of Task_Activity and Task Completion Rate</t>
  </si>
  <si>
    <t xml:space="preserve">RG-06, RG-23</t>
  </si>
  <si>
    <t xml:space="preserve">A032</t>
  </si>
  <si>
    <t xml:space="preserve">Which BI option will be used?</t>
  </si>
  <si>
    <t xml:space="preserve">Dashboard build and aggregated-only access</t>
  </si>
  <si>
    <t xml:space="preserve">Work Package M</t>
  </si>
  <si>
    <t xml:space="preserve">Product / Data Analyst</t>
  </si>
  <si>
    <t xml:space="preserve">RG-17</t>
  </si>
  <si>
    <t xml:space="preserve">A033</t>
  </si>
  <si>
    <t xml:space="preserve">Can operational tables be read from a replica or export without affecting the live product?</t>
  </si>
  <si>
    <t xml:space="preserve">The table extract flow (F2) depends on it</t>
  </si>
  <si>
    <t xml:space="preserve">Work Package O</t>
  </si>
  <si>
    <t xml:space="preserve">RG-20</t>
  </si>
  <si>
    <t xml:space="preserve">A034</t>
  </si>
  <si>
    <t xml:space="preserve">Who triages the quarantine table, and how often?</t>
  </si>
  <si>
    <t xml:space="preserve">Quarantined records need an owner to be resolved</t>
  </si>
  <si>
    <t xml:space="preserve">Work Package L</t>
  </si>
  <si>
    <t xml:space="preserve">Data Analyst / Product</t>
  </si>
  <si>
    <t xml:space="preserve">RG-15</t>
  </si>
  <si>
    <t xml:space="preserve">A035</t>
  </si>
  <si>
    <t xml:space="preserve">What freshness, volume, clock-tolerance and late-arrival limits apply?</t>
  </si>
  <si>
    <t xml:space="preserve">Monitoring and DQ036 to DQ038 need limits</t>
  </si>
  <si>
    <t xml:space="preserve">Engineering / Data Analyst</t>
  </si>
  <si>
    <t xml:space="preserve">RG-14</t>
  </si>
  <si>
    <t xml:space="preserve">A036</t>
  </si>
  <si>
    <t xml:space="preserve">What retention period applies to each data zone?</t>
  </si>
  <si>
    <t xml:space="preserve">Privacy and storage cost</t>
  </si>
  <si>
    <t xml:space="preserve">Work Package P</t>
  </si>
  <si>
    <t xml:space="preserve">A037</t>
  </si>
  <si>
    <t xml:space="preserve">Who are the named data owners and stewards for each entity?</t>
  </si>
  <si>
    <t xml:space="preserve">Access approvals and governance depend on named people</t>
  </si>
  <si>
    <t xml:space="preserve">Product / Management</t>
  </si>
  <si>
    <t xml:space="preserve">RG-24</t>
  </si>
  <si>
    <t xml:space="preserve">A038</t>
  </si>
  <si>
    <t xml:space="preserve">What group size triggers small-group suppression in reports?</t>
  </si>
  <si>
    <t xml:space="preserve">Prevents re-identification in aggregated reports</t>
  </si>
  <si>
    <t xml:space="preserve">Product / Legal</t>
  </si>
  <si>
    <t xml:space="preserve">RG-26</t>
  </si>
  <si>
    <t xml:space="preserve">A039</t>
  </si>
  <si>
    <t xml:space="preserve">How often is access reviewed?</t>
  </si>
  <si>
    <t xml:space="preserve">Least-privilege access drifts without review</t>
  </si>
  <si>
    <t xml:space="preserve">RG-24, RG-26</t>
  </si>
  <si>
    <t xml:space="preserve">A040</t>
  </si>
  <si>
    <t xml:space="preserve">How long is the overlap period, and what notice is given, for breaking changes?</t>
  </si>
  <si>
    <t xml:space="preserve">Change management</t>
  </si>
  <si>
    <t xml:space="preserve">Work Package Q</t>
  </si>
  <si>
    <t xml:space="preserve">RG-28</t>
  </si>
  <si>
    <t xml:space="preserve">A041</t>
  </si>
  <si>
    <t xml:space="preserve">Who besides Product approves money-related KPI changes?</t>
  </si>
  <si>
    <t xml:space="preserve">Governance of money KPIs</t>
  </si>
  <si>
    <t xml:space="preserve">Finance / Product</t>
  </si>
  <si>
    <t xml:space="preserve">A042</t>
  </si>
  <si>
    <t xml:space="preserve">What wait times define 'abandoned' and 'tracking_failed' for tasks?</t>
  </si>
  <si>
    <t xml:space="preserve">Failure categories and Provider Callback Reliability</t>
  </si>
  <si>
    <t xml:space="preserve">RG-21</t>
  </si>
  <si>
    <t xml:space="preserve">A043</t>
  </si>
  <si>
    <t xml:space="preserve">When will the supplied dataset be available in an accessible form?</t>
  </si>
  <si>
    <t xml:space="preserve">Profiling, relationship tests, KPI tests and the Messy_Data audit all depend on it</t>
  </si>
  <si>
    <t xml:space="preserve">Work Package J</t>
  </si>
  <si>
    <t xml:space="preserve">Before Work Packages J and K</t>
  </si>
  <si>
    <t xml:space="preserve">RG-29</t>
  </si>
  <si>
    <t xml:space="preserve">The dataset was provided as an uploaded file. It covers the Users entity only; the remaining datasets are tracked as A046.</t>
  </si>
  <si>
    <t xml:space="preserve">A044</t>
  </si>
  <si>
    <t xml:space="preserve">Do features outside earning (Help Center, wallet view) need a generic feature_opened event?</t>
  </si>
  <si>
    <t xml:space="preserve">Adoption of non-earning features</t>
  </si>
  <si>
    <t xml:space="preserve">RG-03</t>
  </si>
  <si>
    <t xml:space="preserve">A045</t>
  </si>
  <si>
    <t xml:space="preserve">Is country available at registration, at country level?</t>
  </si>
  <si>
    <t xml:space="preserve">Geographic distribution on the User Analytics dashboard</t>
  </si>
  <si>
    <t xml:space="preserve">Dashboard Blueprint, Implementation Backlog</t>
  </si>
  <si>
    <t xml:space="preserve">A046</t>
  </si>
  <si>
    <t xml:space="preserve">Will the other simulated datasets (task activity, rewards, wallet, withdrawals, referrals, feature events) be supplied?</t>
  </si>
  <si>
    <t xml:space="preserve">Relationship tests beyond Users, most KPI tests and 21 of the 39 quality rules cannot run without them</t>
  </si>
  <si>
    <t xml:space="preserve">Dataset profiling</t>
  </si>
  <si>
    <t xml:space="preserve">Deliverable 12</t>
  </si>
  <si>
    <t xml:space="preserve">Before the next audit</t>
  </si>
  <si>
    <t xml:space="preserve">RG-13</t>
  </si>
  <si>
    <t xml:space="preserve">Data Quality Audit, Simulated Data Profiling</t>
  </si>
  <si>
    <t xml:space="preserve">A047</t>
  </si>
  <si>
    <t xml:space="preserve">What do the account status values mean (Active, Inactive, Suspended, Pending Verification), and may an Active account have an unverified email?</t>
  </si>
  <si>
    <t xml:space="preserve">The dataset's status clashes with the derived activity concept; the allowed combinations are unknown</t>
  </si>
  <si>
    <t xml:space="preserve">Data Quality Audit</t>
  </si>
  <si>
    <t xml:space="preserve">Deliverable 13</t>
  </si>
  <si>
    <t xml:space="preserve">RG-31</t>
  </si>
  <si>
    <t xml:space="preserve">A048</t>
  </si>
  <si>
    <t xml:space="preserve">Which user attributes (age, gender, state, city, consent, email verification) will actually be collected, and are they needed for analytics?</t>
  </si>
  <si>
    <t xml:space="preserve">Data minimisation and consent fields; the supplied file holds more personal-looking fields than the proposed dictionary</t>
  </si>
  <si>
    <t xml:space="preserve">Simulated Data Profiling</t>
  </si>
  <si>
    <t xml:space="preserve">A049</t>
  </si>
  <si>
    <t xml:space="preserve">What reference time and timezone define days_since_registration and the 7-day and 30-day activity flags?</t>
  </si>
  <si>
    <t xml:space="preserve">The supplied file does not state it; the counts only reproduce with 15 Sep 2026 00:00</t>
  </si>
  <si>
    <t xml:space="preserve">A050</t>
  </si>
  <si>
    <t xml:space="preserve">Can an account have sessions without a recorded login, or a login without sessions, and which counter is authoritative?</t>
  </si>
  <si>
    <t xml:space="preserve">The supplied data contains both; session and active-day counters are unreliable until this is settled</t>
  </si>
  <si>
    <t xml:space="preserve">Source ID</t>
  </si>
  <si>
    <t xml:space="preserve">Information</t>
  </si>
  <si>
    <t xml:space="preserve">Source</t>
  </si>
  <si>
    <t xml:space="preserve">Source Type</t>
  </si>
  <si>
    <t xml:space="preserve">Date Checked</t>
  </si>
  <si>
    <t xml:space="preserve">Notes / Limitation</t>
  </si>
  <si>
    <t xml:space="preserve">S001</t>
  </si>
  <si>
    <t xml:space="preserve">Task brief states VELOOP is a real product under development; supplied data is fictional/simulated</t>
  </si>
  <si>
    <t xml:space="preserve">Task 01 brief (Data_Analyst_01.PDF), Sec. 2</t>
  </si>
  <si>
    <t xml:space="preserve">Internal</t>
  </si>
  <si>
    <t xml:space="preserve">2026-10-08</t>
  </si>
  <si>
    <t xml:space="preserve">Defines how all data in this project must be labelled.</t>
  </si>
  <si>
    <t xml:space="preserve">S002</t>
  </si>
  <si>
    <t xml:space="preserve">Brief states VELOOP Rewards currently lacks the production data volume needed for conventional performance analysis</t>
  </si>
  <si>
    <t xml:space="preserve">Task 01 brief, Sec. 35</t>
  </si>
  <si>
    <t xml:space="preserve">Statement from the brief itself, not independently checked.</t>
  </si>
  <si>
    <t xml:space="preserve">S003</t>
  </si>
  <si>
    <t xml:space="preserve">Brief lists possible product areas (accounts, VEs, XP, Gems, Tokens, Spins, daily rewards, streaks, tasks, missions, badges, levels, referrals, wallet, exchange, withdrawals, support)</t>
  </si>
  <si>
    <t xml:space="preserve">Task 01 brief, Sec. 5</t>
  </si>
  <si>
    <t xml:space="preserve">Brief says 'may include' and warns not to assume every feature is implemented. Treated as candidate scope only.</t>
  </si>
  <si>
    <t xml:space="preserve">S004</t>
  </si>
  <si>
    <t xml:space="preserve">Example product areas for mapping: Registration, Login, Watch Ads, Daily Rewards, Tap &amp; Earn, Mining, Spin, Missions, Referrals, Wallet, Withdrawals, Help Center</t>
  </si>
  <si>
    <t xml:space="preserve">Task 01 brief, Sec. 7 (A1)</t>
  </si>
  <si>
    <t xml:space="preserve">Examples only. Implementation status of each is unverified.</t>
  </si>
  <si>
    <t xml:space="preserve">S005</t>
  </si>
  <si>
    <t xml:space="preserve">Minimum event list (user_registered ... withdrawal_reversed) and withdrawal/referral/task lifecycles</t>
  </si>
  <si>
    <t xml:space="preserve">Task 01 brief, Sec. 9-12</t>
  </si>
  <si>
    <t xml:space="preserve">These are proposed analytics events, not events known to exist in VELOOP.</t>
  </si>
  <si>
    <t xml:space="preserve">S006</t>
  </si>
  <si>
    <t xml:space="preserve">Simulated dataset spec: 7 sheets + Messy_Data; ~1,000 users, 6,000 task rows, 5,000 rewards, 3,500 wallet, 1,200 withdrawals, 900 referrals, 12,000 feature events, 500+ messy rows</t>
  </si>
  <si>
    <t xml:space="preserve">Task 01 brief, Sec. 16 &amp; 28</t>
  </si>
  <si>
    <t xml:space="preserve">Simulated</t>
  </si>
  <si>
    <t xml:space="preserve">Expected structure per the brief. The file supplied contains the Users entity only (see S011).</t>
  </si>
  <si>
    <t xml:space="preserve">S007</t>
  </si>
  <si>
    <t xml:space="preserve">Dataset shared via Google Drive folder link</t>
  </si>
  <si>
    <t xml:space="preserve">Task 01 brief, header</t>
  </si>
  <si>
    <t xml:space="preserve">The dataset was received as an uploaded file (1791734466513_VELoop_Rewards_Data_01.xlsx) rather than opened from the Drive link.</t>
  </si>
  <si>
    <t xml:space="preserve">S008</t>
  </si>
  <si>
    <t xml:space="preserve">Public web search for 'VELOOP Rewards app' returned no official VELOOP Rewards page. Results were unrelated products (Veloop mobility membership in Colombia on Apple App Store, Velocia mobility rewards, VELO nicotine pouch rewards)</t>
  </si>
  <si>
    <t xml:space="preserve">Web search, 2026-10-08</t>
  </si>
  <si>
    <t xml:space="preserve">Official</t>
  </si>
  <si>
    <t xml:space="preserve">Name similarity only. These must NOT be used as evidence about VELOOP Rewards. Ask mentor/product team for official docs or app link.</t>
  </si>
  <si>
    <t xml:space="preserve">S009</t>
  </si>
  <si>
    <t xml:space="preserve">No official VELOOP Rewards documentation (app, website, help center, whitepaper) has been supplied yet</t>
  </si>
  <si>
    <t xml:space="preserve">Task 01 package</t>
  </si>
  <si>
    <t xml:space="preserve">Request product documentation or a product walkthrough from the VELOOP team.</t>
  </si>
  <si>
    <t xml:space="preserve">S010</t>
  </si>
  <si>
    <t xml:space="preserve">Supplied dataset file: sheets Users_1000_Clean (1,000 rows), Users_Messy_Audit (1,008 rows), Data_Dictionary (25 fields), Synthetic_Summary and README_Data_Status</t>
  </si>
  <si>
    <t xml:space="preserve">Uploaded file 1791734466513_VELoop_Rewards_Data_01.xlsx</t>
  </si>
  <si>
    <t xml:space="preserve">2026-10-11</t>
  </si>
  <si>
    <t xml:space="preserve">Contents confirmed by inspection. The file states it is simulated and not actual VELOOP data.</t>
  </si>
  <si>
    <t xml:space="preserve">S011</t>
  </si>
  <si>
    <t xml:space="preserve">The supplied dataset covers the Users entity only; the Task Activity, Rewards, Wallet, Withdrawals, Referrals and Feature Events sheets from the brief are not in the file</t>
  </si>
  <si>
    <t xml:space="preserve">Inspection of the uploaded file</t>
  </si>
  <si>
    <t xml:space="preserve">Limits relationship tests, KPI tests and rule tests (A046).</t>
  </si>
  <si>
    <t xml:space="preserve">Total</t>
  </si>
  <si>
    <t xml:space="preserve">Assumptions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</si>
</sst>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1"/>
      <name val="Arial"/>
      <family val="0"/>
      <charset val="1"/>
    </font>
    <font>
      <b val="true"/>
      <sz val="10"/>
      <color rgb="FFFFFFFF"/>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8CBAD"/>
        <bgColor rgb="FFF4B6B6"/>
      </patternFill>
    </fill>
    <fill>
      <patternFill patternType="solid">
        <fgColor rgb="FFF4B6B6"/>
        <bgColor rgb="FFF8CBAD"/>
      </patternFill>
    </fill>
    <fill>
      <patternFill patternType="solid">
        <fgColor rgb="FFFFEB9C"/>
        <bgColor rgb="FFF8CBAD"/>
      </patternFill>
    </fill>
    <fill>
      <patternFill patternType="solid">
        <fgColor rgb="FFE2EFDA"/>
        <bgColor rgb="FFC6EFCE"/>
      </patternFill>
    </fill>
    <fill>
      <patternFill patternType="solid">
        <fgColor rgb="FFC6EFCE"/>
        <bgColor rgb="FFE2EFDA"/>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4B6B6"/>
          <bgColor rgb="FF000000"/>
        </patternFill>
      </fill>
    </dxf>
    <dxf>
      <fill>
        <patternFill patternType="solid">
          <fgColor rgb="FFF8CBAD"/>
          <bgColor rgb="FF000000"/>
        </patternFill>
      </fill>
    </dxf>
    <dxf>
      <fill>
        <patternFill patternType="solid">
          <fgColor rgb="FFFFEB9C"/>
          <bgColor rgb="FF000000"/>
        </patternFill>
      </fill>
    </dxf>
    <dxf>
      <fill>
        <patternFill patternType="solid">
          <fgColor rgb="FFC6EFC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E2EFD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4B6B6"/>
      <rgbColor rgb="FFCC99FF"/>
      <rgbColor rgb="FFF8CBAD"/>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 collapsed="false" customWidth="true" hidden="false" outlineLevel="0" max="2" min="2" style="0" width="10"/>
  </cols>
  <sheetData>
    <row r="1" customFormat="false" ht="15" hidden="false" customHeight="false" outlineLevel="0" collapsed="false">
      <c r="A1" s="1" t="s">
        <v>0</v>
      </c>
    </row>
    <row r="2" customFormat="false" ht="35.05" hidden="false" customHeight="false" outlineLevel="0" collapsed="false">
      <c r="A2" s="2" t="s">
        <v>1</v>
      </c>
    </row>
    <row r="3" customFormat="false" ht="23.85" hidden="false" customHeight="false" outlineLevel="0" collapsed="false">
      <c r="A3" s="2" t="s">
        <v>2</v>
      </c>
    </row>
    <row r="4" customFormat="false" ht="15" hidden="false" customHeight="false" outlineLevel="0" collapsed="false">
      <c r="A4" s="2" t="s">
        <v>3</v>
      </c>
    </row>
    <row r="5" customFormat="false" ht="23.85" hidden="false" customHeight="false" outlineLevel="0" collapsed="false">
      <c r="A5" s="2" t="s">
        <v>4</v>
      </c>
    </row>
    <row r="7" customFormat="false" ht="15" hidden="false" customHeight="false" outlineLevel="0" collapsed="false">
      <c r="A7" s="3" t="s">
        <v>5</v>
      </c>
    </row>
    <row r="8" customFormat="false" ht="15" hidden="false" customHeight="false" outlineLevel="0" collapsed="false">
      <c r="A8" s="4" t="s">
        <v>6</v>
      </c>
      <c r="B8" s="4" t="n">
        <f aca="false">COUNTA(Assumption_Register!A:A)-1</f>
        <v>50</v>
      </c>
    </row>
    <row r="9" customFormat="false" ht="15" hidden="false" customHeight="false" outlineLevel="0" collapsed="false">
      <c r="A9" s="4" t="s">
        <v>7</v>
      </c>
      <c r="B9" s="4" t="n">
        <f aca="false">COUNTIF(Assumption_Register!E:E,"Critical")</f>
        <v>5</v>
      </c>
    </row>
    <row r="10" customFormat="false" ht="15" hidden="false" customHeight="false" outlineLevel="0" collapsed="false">
      <c r="A10" s="4" t="s">
        <v>8</v>
      </c>
      <c r="B10" s="4" t="n">
        <f aca="false">COUNTIF(Assumption_Register!G:G,"Confirmed")</f>
        <v>2</v>
      </c>
    </row>
    <row r="11" customFormat="false" ht="15" hidden="false" customHeight="false" outlineLevel="0" collapsed="false">
      <c r="A11" s="4" t="s">
        <v>9</v>
      </c>
      <c r="B11" s="4" t="n">
        <f aca="false">COUNTIF(Assumption_Register!G:G,"To Be Verified")</f>
        <v>45</v>
      </c>
    </row>
    <row r="12" customFormat="false" ht="15" hidden="false" customHeight="false" outlineLevel="0" collapsed="false">
      <c r="A12" s="4" t="s">
        <v>10</v>
      </c>
      <c r="B12" s="4" t="n">
        <f aca="false">COUNTIF(Assumption_Register!G:G,"Proposed")</f>
        <v>3</v>
      </c>
    </row>
    <row r="13" customFormat="false" ht="15" hidden="false" customHeight="false" outlineLevel="0" collapsed="false">
      <c r="A13" s="4" t="s">
        <v>11</v>
      </c>
      <c r="B13" s="4" t="n">
        <f aca="false">COUNTA(Sources_Update!A:A)-1</f>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6"/>
    <col collapsed="false" customWidth="true" hidden="false" outlineLevel="0" max="3" min="3" style="0" width="50"/>
    <col collapsed="false" customWidth="true" hidden="false" outlineLevel="0" max="4" min="4" style="0" width="16"/>
    <col collapsed="false" customWidth="true" hidden="false" outlineLevel="0" max="5" min="5" style="0" width="10"/>
    <col collapsed="false" customWidth="true" hidden="false" outlineLevel="0" max="6" min="6" style="0" width="24"/>
    <col collapsed="false" customWidth="true" hidden="false" outlineLevel="0" max="7" min="7" style="0" width="15"/>
    <col collapsed="false" customWidth="true" hidden="false" outlineLevel="0" max="8" min="8" style="0" width="22"/>
    <col collapsed="false" customWidth="true" hidden="false" outlineLevel="0" max="9" min="9" style="0" width="24"/>
    <col collapsed="false" customWidth="true" hidden="false" outlineLevel="0" max="10" min="10" style="0" width="16"/>
    <col collapsed="false" customWidth="true" hidden="false" outlineLevel="0" max="11" min="11" style="0" width="50"/>
    <col collapsed="false" customWidth="true" hidden="false" outlineLevel="0" max="12" min="12" style="0" width="40"/>
    <col collapsed="false" customWidth="true" hidden="false" outlineLevel="0" max="13" min="13" style="0" width="24"/>
    <col collapsed="false" customWidth="true" hidden="false" outlineLevel="0" max="14" min="14" style="0" width="14"/>
  </cols>
  <sheetData>
    <row r="1" customFormat="false" ht="23.85" hidden="false" customHeight="false" outlineLevel="0" collapsed="false">
      <c r="A1" s="5" t="s">
        <v>12</v>
      </c>
      <c r="B1" s="5" t="s">
        <v>13</v>
      </c>
      <c r="C1" s="5" t="s">
        <v>14</v>
      </c>
      <c r="D1" s="5" t="s">
        <v>15</v>
      </c>
      <c r="E1" s="5" t="s">
        <v>16</v>
      </c>
      <c r="F1" s="5" t="s">
        <v>17</v>
      </c>
      <c r="G1" s="5" t="s">
        <v>18</v>
      </c>
      <c r="H1" s="5" t="s">
        <v>19</v>
      </c>
      <c r="I1" s="5" t="s">
        <v>20</v>
      </c>
      <c r="J1" s="5" t="s">
        <v>21</v>
      </c>
      <c r="K1" s="5" t="s">
        <v>22</v>
      </c>
      <c r="L1" s="5" t="s">
        <v>23</v>
      </c>
      <c r="M1" s="5" t="s">
        <v>24</v>
      </c>
      <c r="N1" s="5" t="s">
        <v>25</v>
      </c>
    </row>
    <row r="2" customFormat="false" ht="46.25" hidden="false" customHeight="false" outlineLevel="0" collapsed="false">
      <c r="A2" s="6" t="s">
        <v>26</v>
      </c>
      <c r="B2" s="6" t="s">
        <v>27</v>
      </c>
      <c r="C2" s="6" t="s">
        <v>28</v>
      </c>
      <c r="D2" s="6" t="s">
        <v>29</v>
      </c>
      <c r="E2" s="7" t="s">
        <v>30</v>
      </c>
      <c r="F2" s="6" t="s">
        <v>31</v>
      </c>
      <c r="G2" s="7" t="s">
        <v>9</v>
      </c>
      <c r="H2" s="6" t="s">
        <v>32</v>
      </c>
      <c r="I2" s="6" t="s">
        <v>33</v>
      </c>
      <c r="J2" s="6" t="s">
        <v>34</v>
      </c>
      <c r="K2" s="6" t="s">
        <v>35</v>
      </c>
      <c r="L2" s="6" t="s">
        <v>36</v>
      </c>
      <c r="M2" s="6"/>
      <c r="N2" s="6"/>
    </row>
    <row r="3" customFormat="false" ht="57.45" hidden="false" customHeight="false" outlineLevel="0" collapsed="false">
      <c r="A3" s="6" t="s">
        <v>37</v>
      </c>
      <c r="B3" s="6" t="s">
        <v>38</v>
      </c>
      <c r="C3" s="6" t="s">
        <v>39</v>
      </c>
      <c r="D3" s="6" t="s">
        <v>29</v>
      </c>
      <c r="E3" s="8" t="s">
        <v>40</v>
      </c>
      <c r="F3" s="6" t="s">
        <v>41</v>
      </c>
      <c r="G3" s="7" t="s">
        <v>9</v>
      </c>
      <c r="H3" s="6" t="s">
        <v>32</v>
      </c>
      <c r="I3" s="6" t="s">
        <v>33</v>
      </c>
      <c r="J3" s="6" t="s">
        <v>42</v>
      </c>
      <c r="K3" s="6" t="s">
        <v>43</v>
      </c>
      <c r="L3" s="6" t="s">
        <v>44</v>
      </c>
      <c r="M3" s="6"/>
      <c r="N3" s="6"/>
    </row>
    <row r="4" customFormat="false" ht="46.25" hidden="false" customHeight="false" outlineLevel="0" collapsed="false">
      <c r="A4" s="6" t="s">
        <v>45</v>
      </c>
      <c r="B4" s="6" t="s">
        <v>46</v>
      </c>
      <c r="C4" s="6" t="s">
        <v>47</v>
      </c>
      <c r="D4" s="6" t="s">
        <v>29</v>
      </c>
      <c r="E4" s="8" t="s">
        <v>40</v>
      </c>
      <c r="F4" s="6" t="s">
        <v>31</v>
      </c>
      <c r="G4" s="7" t="s">
        <v>9</v>
      </c>
      <c r="H4" s="6" t="s">
        <v>32</v>
      </c>
      <c r="I4" s="6" t="s">
        <v>33</v>
      </c>
      <c r="J4" s="6" t="s">
        <v>48</v>
      </c>
      <c r="K4" s="6" t="s">
        <v>35</v>
      </c>
      <c r="L4" s="6" t="s">
        <v>49</v>
      </c>
      <c r="M4" s="6"/>
      <c r="N4" s="6"/>
    </row>
    <row r="5" customFormat="false" ht="23.85" hidden="false" customHeight="false" outlineLevel="0" collapsed="false">
      <c r="A5" s="6" t="s">
        <v>50</v>
      </c>
      <c r="B5" s="6" t="s">
        <v>51</v>
      </c>
      <c r="C5" s="6" t="s">
        <v>52</v>
      </c>
      <c r="D5" s="6" t="s">
        <v>29</v>
      </c>
      <c r="E5" s="9" t="s">
        <v>53</v>
      </c>
      <c r="F5" s="6" t="s">
        <v>31</v>
      </c>
      <c r="G5" s="7" t="s">
        <v>9</v>
      </c>
      <c r="H5" s="6" t="s">
        <v>32</v>
      </c>
      <c r="I5" s="6" t="s">
        <v>54</v>
      </c>
      <c r="J5" s="6" t="s">
        <v>55</v>
      </c>
      <c r="K5" s="6" t="s">
        <v>35</v>
      </c>
      <c r="L5" s="6" t="s">
        <v>56</v>
      </c>
      <c r="M5" s="6"/>
      <c r="N5" s="6"/>
    </row>
    <row r="6" customFormat="false" ht="46.25" hidden="false" customHeight="false" outlineLevel="0" collapsed="false">
      <c r="A6" s="6" t="s">
        <v>57</v>
      </c>
      <c r="B6" s="6" t="s">
        <v>58</v>
      </c>
      <c r="C6" s="6" t="s">
        <v>59</v>
      </c>
      <c r="D6" s="6" t="s">
        <v>29</v>
      </c>
      <c r="E6" s="8" t="s">
        <v>40</v>
      </c>
      <c r="F6" s="6" t="s">
        <v>31</v>
      </c>
      <c r="G6" s="7" t="s">
        <v>9</v>
      </c>
      <c r="H6" s="6" t="s">
        <v>32</v>
      </c>
      <c r="I6" s="6" t="s">
        <v>33</v>
      </c>
      <c r="J6" s="6" t="s">
        <v>60</v>
      </c>
      <c r="K6" s="6" t="s">
        <v>35</v>
      </c>
      <c r="L6" s="6" t="s">
        <v>61</v>
      </c>
      <c r="M6" s="6"/>
      <c r="N6" s="6"/>
    </row>
    <row r="7" customFormat="false" ht="46.25" hidden="false" customHeight="false" outlineLevel="0" collapsed="false">
      <c r="A7" s="6" t="s">
        <v>62</v>
      </c>
      <c r="B7" s="6" t="s">
        <v>63</v>
      </c>
      <c r="C7" s="6" t="s">
        <v>64</v>
      </c>
      <c r="D7" s="6" t="s">
        <v>29</v>
      </c>
      <c r="E7" s="7" t="s">
        <v>30</v>
      </c>
      <c r="F7" s="6" t="s">
        <v>65</v>
      </c>
      <c r="G7" s="7" t="s">
        <v>9</v>
      </c>
      <c r="H7" s="6" t="s">
        <v>32</v>
      </c>
      <c r="I7" s="6" t="s">
        <v>33</v>
      </c>
      <c r="J7" s="6" t="s">
        <v>66</v>
      </c>
      <c r="K7" s="6" t="s">
        <v>67</v>
      </c>
      <c r="L7" s="6" t="s">
        <v>68</v>
      </c>
      <c r="M7" s="6"/>
      <c r="N7" s="6"/>
    </row>
    <row r="8" customFormat="false" ht="23.85" hidden="false" customHeight="false" outlineLevel="0" collapsed="false">
      <c r="A8" s="6" t="s">
        <v>69</v>
      </c>
      <c r="B8" s="6" t="s">
        <v>70</v>
      </c>
      <c r="C8" s="6" t="s">
        <v>71</v>
      </c>
      <c r="D8" s="6" t="s">
        <v>29</v>
      </c>
      <c r="E8" s="7" t="s">
        <v>30</v>
      </c>
      <c r="F8" s="6" t="s">
        <v>72</v>
      </c>
      <c r="G8" s="7" t="s">
        <v>9</v>
      </c>
      <c r="H8" s="6" t="s">
        <v>32</v>
      </c>
      <c r="I8" s="6" t="s">
        <v>33</v>
      </c>
      <c r="J8" s="6" t="s">
        <v>73</v>
      </c>
      <c r="K8" s="6" t="s">
        <v>74</v>
      </c>
      <c r="L8" s="6" t="s">
        <v>75</v>
      </c>
      <c r="M8" s="6"/>
      <c r="N8" s="6"/>
    </row>
    <row r="9" customFormat="false" ht="23.85" hidden="false" customHeight="false" outlineLevel="0" collapsed="false">
      <c r="A9" s="6" t="s">
        <v>76</v>
      </c>
      <c r="B9" s="6" t="s">
        <v>77</v>
      </c>
      <c r="C9" s="6" t="s">
        <v>78</v>
      </c>
      <c r="D9" s="6" t="s">
        <v>29</v>
      </c>
      <c r="E9" s="7" t="s">
        <v>30</v>
      </c>
      <c r="F9" s="6" t="s">
        <v>79</v>
      </c>
      <c r="G9" s="7" t="s">
        <v>9</v>
      </c>
      <c r="H9" s="6" t="s">
        <v>32</v>
      </c>
      <c r="I9" s="6" t="s">
        <v>33</v>
      </c>
      <c r="J9" s="6" t="s">
        <v>80</v>
      </c>
      <c r="K9" s="6" t="s">
        <v>81</v>
      </c>
      <c r="L9" s="6" t="s">
        <v>82</v>
      </c>
      <c r="M9" s="6"/>
      <c r="N9" s="6"/>
    </row>
    <row r="10" customFormat="false" ht="35.05" hidden="false" customHeight="false" outlineLevel="0" collapsed="false">
      <c r="A10" s="6" t="s">
        <v>83</v>
      </c>
      <c r="B10" s="6" t="s">
        <v>84</v>
      </c>
      <c r="C10" s="6" t="s">
        <v>85</v>
      </c>
      <c r="D10" s="6" t="s">
        <v>29</v>
      </c>
      <c r="E10" s="7" t="s">
        <v>30</v>
      </c>
      <c r="F10" s="6" t="s">
        <v>31</v>
      </c>
      <c r="G10" s="7" t="s">
        <v>9</v>
      </c>
      <c r="H10" s="6" t="s">
        <v>32</v>
      </c>
      <c r="I10" s="6" t="s">
        <v>33</v>
      </c>
      <c r="J10" s="6" t="s">
        <v>86</v>
      </c>
      <c r="K10" s="6" t="s">
        <v>35</v>
      </c>
      <c r="L10" s="6" t="s">
        <v>87</v>
      </c>
      <c r="M10" s="6"/>
      <c r="N10" s="6"/>
    </row>
    <row r="11" customFormat="false" ht="46.25" hidden="false" customHeight="false" outlineLevel="0" collapsed="false">
      <c r="A11" s="6" t="s">
        <v>88</v>
      </c>
      <c r="B11" s="6" t="s">
        <v>89</v>
      </c>
      <c r="C11" s="6" t="s">
        <v>90</v>
      </c>
      <c r="D11" s="6" t="s">
        <v>29</v>
      </c>
      <c r="E11" s="7" t="s">
        <v>30</v>
      </c>
      <c r="F11" s="6" t="s">
        <v>79</v>
      </c>
      <c r="G11" s="7" t="s">
        <v>9</v>
      </c>
      <c r="H11" s="6" t="s">
        <v>32</v>
      </c>
      <c r="I11" s="6" t="s">
        <v>33</v>
      </c>
      <c r="J11" s="6" t="s">
        <v>91</v>
      </c>
      <c r="K11" s="6" t="s">
        <v>81</v>
      </c>
      <c r="L11" s="6" t="s">
        <v>92</v>
      </c>
      <c r="M11" s="6"/>
      <c r="N11" s="6"/>
    </row>
    <row r="12" customFormat="false" ht="46.25" hidden="false" customHeight="false" outlineLevel="0" collapsed="false">
      <c r="A12" s="6" t="s">
        <v>93</v>
      </c>
      <c r="B12" s="6" t="s">
        <v>94</v>
      </c>
      <c r="C12" s="6" t="s">
        <v>95</v>
      </c>
      <c r="D12" s="6" t="s">
        <v>29</v>
      </c>
      <c r="E12" s="7" t="s">
        <v>30</v>
      </c>
      <c r="F12" s="6" t="s">
        <v>31</v>
      </c>
      <c r="G12" s="7" t="s">
        <v>9</v>
      </c>
      <c r="H12" s="6" t="s">
        <v>32</v>
      </c>
      <c r="I12" s="6" t="s">
        <v>33</v>
      </c>
      <c r="J12" s="6" t="s">
        <v>96</v>
      </c>
      <c r="K12" s="6" t="s">
        <v>35</v>
      </c>
      <c r="L12" s="6" t="s">
        <v>97</v>
      </c>
      <c r="M12" s="6"/>
      <c r="N12" s="6"/>
    </row>
    <row r="13" customFormat="false" ht="57.45" hidden="false" customHeight="false" outlineLevel="0" collapsed="false">
      <c r="A13" s="6" t="s">
        <v>98</v>
      </c>
      <c r="B13" s="6" t="s">
        <v>99</v>
      </c>
      <c r="C13" s="6" t="s">
        <v>100</v>
      </c>
      <c r="D13" s="6" t="s">
        <v>29</v>
      </c>
      <c r="E13" s="7" t="s">
        <v>30</v>
      </c>
      <c r="F13" s="6" t="s">
        <v>31</v>
      </c>
      <c r="G13" s="7" t="s">
        <v>9</v>
      </c>
      <c r="H13" s="6" t="s">
        <v>32</v>
      </c>
      <c r="I13" s="6" t="s">
        <v>33</v>
      </c>
      <c r="J13" s="6" t="s">
        <v>101</v>
      </c>
      <c r="K13" s="6" t="s">
        <v>35</v>
      </c>
      <c r="L13" s="6" t="s">
        <v>102</v>
      </c>
      <c r="M13" s="6"/>
      <c r="N13" s="6"/>
    </row>
    <row r="14" customFormat="false" ht="35.05" hidden="false" customHeight="false" outlineLevel="0" collapsed="false">
      <c r="A14" s="6" t="s">
        <v>103</v>
      </c>
      <c r="B14" s="6" t="s">
        <v>104</v>
      </c>
      <c r="C14" s="6" t="s">
        <v>105</v>
      </c>
      <c r="D14" s="6" t="s">
        <v>29</v>
      </c>
      <c r="E14" s="9" t="s">
        <v>53</v>
      </c>
      <c r="F14" s="6" t="s">
        <v>106</v>
      </c>
      <c r="G14" s="7" t="s">
        <v>9</v>
      </c>
      <c r="H14" s="6" t="s">
        <v>32</v>
      </c>
      <c r="I14" s="6" t="s">
        <v>54</v>
      </c>
      <c r="J14" s="6" t="s">
        <v>107</v>
      </c>
      <c r="K14" s="6" t="s">
        <v>108</v>
      </c>
      <c r="L14" s="6" t="s">
        <v>109</v>
      </c>
      <c r="M14" s="6"/>
      <c r="N14" s="6"/>
    </row>
    <row r="15" customFormat="false" ht="23.85" hidden="false" customHeight="false" outlineLevel="0" collapsed="false">
      <c r="A15" s="6" t="s">
        <v>110</v>
      </c>
      <c r="B15" s="6" t="s">
        <v>111</v>
      </c>
      <c r="C15" s="6" t="s">
        <v>112</v>
      </c>
      <c r="D15" s="6" t="s">
        <v>29</v>
      </c>
      <c r="E15" s="9" t="s">
        <v>53</v>
      </c>
      <c r="F15" s="6" t="s">
        <v>113</v>
      </c>
      <c r="G15" s="7" t="s">
        <v>9</v>
      </c>
      <c r="H15" s="6" t="s">
        <v>32</v>
      </c>
      <c r="I15" s="6" t="s">
        <v>54</v>
      </c>
      <c r="J15" s="6" t="s">
        <v>114</v>
      </c>
      <c r="K15" s="6" t="s">
        <v>35</v>
      </c>
      <c r="L15" s="6" t="s">
        <v>82</v>
      </c>
      <c r="M15" s="6"/>
      <c r="N15" s="6"/>
    </row>
    <row r="16" customFormat="false" ht="23.85" hidden="false" customHeight="false" outlineLevel="0" collapsed="false">
      <c r="A16" s="6" t="s">
        <v>115</v>
      </c>
      <c r="B16" s="6" t="s">
        <v>116</v>
      </c>
      <c r="C16" s="6" t="s">
        <v>117</v>
      </c>
      <c r="D16" s="6" t="s">
        <v>29</v>
      </c>
      <c r="E16" s="10" t="s">
        <v>118</v>
      </c>
      <c r="F16" s="6" t="s">
        <v>119</v>
      </c>
      <c r="G16" s="7" t="s">
        <v>9</v>
      </c>
      <c r="H16" s="6" t="s">
        <v>32</v>
      </c>
      <c r="I16" s="6" t="s">
        <v>120</v>
      </c>
      <c r="J16" s="6" t="s">
        <v>121</v>
      </c>
      <c r="K16" s="6" t="s">
        <v>81</v>
      </c>
      <c r="L16" s="6" t="s">
        <v>122</v>
      </c>
      <c r="M16" s="6"/>
      <c r="N16" s="6"/>
    </row>
    <row r="17" customFormat="false" ht="23.85" hidden="false" customHeight="false" outlineLevel="0" collapsed="false">
      <c r="A17" s="6" t="s">
        <v>123</v>
      </c>
      <c r="B17" s="6" t="s">
        <v>124</v>
      </c>
      <c r="C17" s="6" t="s">
        <v>125</v>
      </c>
      <c r="D17" s="6" t="s">
        <v>29</v>
      </c>
      <c r="E17" s="9" t="s">
        <v>53</v>
      </c>
      <c r="F17" s="6" t="s">
        <v>126</v>
      </c>
      <c r="G17" s="7" t="s">
        <v>9</v>
      </c>
      <c r="H17" s="6" t="s">
        <v>32</v>
      </c>
      <c r="I17" s="6" t="s">
        <v>54</v>
      </c>
      <c r="J17" s="6" t="s">
        <v>127</v>
      </c>
      <c r="K17" s="6" t="s">
        <v>128</v>
      </c>
      <c r="L17" s="6" t="s">
        <v>129</v>
      </c>
      <c r="M17" s="6"/>
      <c r="N17" s="6"/>
    </row>
    <row r="18" customFormat="false" ht="124.6" hidden="false" customHeight="false" outlineLevel="0" collapsed="false">
      <c r="A18" s="6" t="s">
        <v>130</v>
      </c>
      <c r="B18" s="6" t="s">
        <v>131</v>
      </c>
      <c r="C18" s="6" t="s">
        <v>132</v>
      </c>
      <c r="D18" s="6" t="s">
        <v>29</v>
      </c>
      <c r="E18" s="9" t="s">
        <v>53</v>
      </c>
      <c r="F18" s="6" t="s">
        <v>133</v>
      </c>
      <c r="G18" s="11" t="s">
        <v>8</v>
      </c>
      <c r="H18" s="6" t="s">
        <v>32</v>
      </c>
      <c r="I18" s="6" t="s">
        <v>54</v>
      </c>
      <c r="J18" s="6" t="s">
        <v>134</v>
      </c>
      <c r="K18" s="6" t="s">
        <v>135</v>
      </c>
      <c r="L18" s="6" t="s">
        <v>136</v>
      </c>
      <c r="M18" s="6" t="s">
        <v>137</v>
      </c>
      <c r="N18" s="6" t="s">
        <v>138</v>
      </c>
    </row>
    <row r="19" customFormat="false" ht="35.05" hidden="false" customHeight="false" outlineLevel="0" collapsed="false">
      <c r="A19" s="6" t="s">
        <v>139</v>
      </c>
      <c r="B19" s="6" t="s">
        <v>140</v>
      </c>
      <c r="C19" s="6" t="s">
        <v>141</v>
      </c>
      <c r="D19" s="6" t="s">
        <v>142</v>
      </c>
      <c r="E19" s="7" t="s">
        <v>30</v>
      </c>
      <c r="F19" s="6" t="s">
        <v>143</v>
      </c>
      <c r="G19" s="7" t="s">
        <v>9</v>
      </c>
      <c r="H19" s="6" t="s">
        <v>32</v>
      </c>
      <c r="I19" s="6" t="s">
        <v>33</v>
      </c>
      <c r="J19" s="6" t="s">
        <v>144</v>
      </c>
      <c r="K19" s="6" t="s">
        <v>145</v>
      </c>
      <c r="L19" s="6" t="s">
        <v>146</v>
      </c>
      <c r="M19" s="6"/>
      <c r="N19" s="6"/>
    </row>
    <row r="20" customFormat="false" ht="35.05" hidden="false" customHeight="false" outlineLevel="0" collapsed="false">
      <c r="A20" s="6" t="s">
        <v>147</v>
      </c>
      <c r="B20" s="6" t="s">
        <v>148</v>
      </c>
      <c r="C20" s="6" t="s">
        <v>149</v>
      </c>
      <c r="D20" s="6" t="s">
        <v>150</v>
      </c>
      <c r="E20" s="7" t="s">
        <v>30</v>
      </c>
      <c r="F20" s="6" t="s">
        <v>41</v>
      </c>
      <c r="G20" s="7" t="s">
        <v>9</v>
      </c>
      <c r="H20" s="6" t="s">
        <v>150</v>
      </c>
      <c r="I20" s="6" t="s">
        <v>33</v>
      </c>
      <c r="J20" s="6" t="s">
        <v>134</v>
      </c>
      <c r="K20" s="6" t="s">
        <v>43</v>
      </c>
      <c r="L20" s="6" t="s">
        <v>151</v>
      </c>
      <c r="M20" s="6"/>
      <c r="N20" s="6"/>
    </row>
    <row r="21" customFormat="false" ht="35.05" hidden="false" customHeight="false" outlineLevel="0" collapsed="false">
      <c r="A21" s="6" t="s">
        <v>152</v>
      </c>
      <c r="B21" s="6" t="s">
        <v>153</v>
      </c>
      <c r="C21" s="6" t="s">
        <v>154</v>
      </c>
      <c r="D21" s="6" t="s">
        <v>155</v>
      </c>
      <c r="E21" s="9" t="s">
        <v>53</v>
      </c>
      <c r="F21" s="6" t="s">
        <v>31</v>
      </c>
      <c r="G21" s="7" t="s">
        <v>9</v>
      </c>
      <c r="H21" s="6" t="s">
        <v>155</v>
      </c>
      <c r="I21" s="6" t="s">
        <v>33</v>
      </c>
      <c r="J21" s="6" t="s">
        <v>156</v>
      </c>
      <c r="K21" s="6" t="s">
        <v>35</v>
      </c>
      <c r="L21" s="6" t="s">
        <v>157</v>
      </c>
      <c r="M21" s="6"/>
      <c r="N21" s="6"/>
    </row>
    <row r="22" customFormat="false" ht="23.85" hidden="false" customHeight="false" outlineLevel="0" collapsed="false">
      <c r="A22" s="6" t="s">
        <v>158</v>
      </c>
      <c r="B22" s="6" t="s">
        <v>159</v>
      </c>
      <c r="C22" s="6" t="s">
        <v>160</v>
      </c>
      <c r="D22" s="6" t="s">
        <v>161</v>
      </c>
      <c r="E22" s="7" t="s">
        <v>30</v>
      </c>
      <c r="F22" s="6" t="s">
        <v>31</v>
      </c>
      <c r="G22" s="7" t="s">
        <v>9</v>
      </c>
      <c r="H22" s="6" t="s">
        <v>161</v>
      </c>
      <c r="I22" s="6" t="s">
        <v>33</v>
      </c>
      <c r="J22" s="6" t="s">
        <v>162</v>
      </c>
      <c r="K22" s="6" t="s">
        <v>35</v>
      </c>
      <c r="L22" s="6" t="s">
        <v>136</v>
      </c>
      <c r="M22" s="6"/>
      <c r="N22" s="6"/>
    </row>
    <row r="23" customFormat="false" ht="35.05" hidden="false" customHeight="false" outlineLevel="0" collapsed="false">
      <c r="A23" s="6" t="s">
        <v>163</v>
      </c>
      <c r="B23" s="6" t="s">
        <v>164</v>
      </c>
      <c r="C23" s="6" t="s">
        <v>165</v>
      </c>
      <c r="D23" s="6" t="s">
        <v>166</v>
      </c>
      <c r="E23" s="7" t="s">
        <v>30</v>
      </c>
      <c r="F23" s="6" t="s">
        <v>41</v>
      </c>
      <c r="G23" s="7" t="s">
        <v>9</v>
      </c>
      <c r="H23" s="6" t="s">
        <v>166</v>
      </c>
      <c r="I23" s="6" t="s">
        <v>33</v>
      </c>
      <c r="J23" s="6" t="s">
        <v>167</v>
      </c>
      <c r="K23" s="6" t="s">
        <v>43</v>
      </c>
      <c r="L23" s="6" t="s">
        <v>168</v>
      </c>
      <c r="M23" s="6"/>
      <c r="N23" s="6"/>
    </row>
    <row r="24" customFormat="false" ht="23.85" hidden="false" customHeight="false" outlineLevel="0" collapsed="false">
      <c r="A24" s="6" t="s">
        <v>169</v>
      </c>
      <c r="B24" s="6" t="s">
        <v>170</v>
      </c>
      <c r="C24" s="6" t="s">
        <v>171</v>
      </c>
      <c r="D24" s="6" t="s">
        <v>172</v>
      </c>
      <c r="E24" s="8" t="s">
        <v>40</v>
      </c>
      <c r="F24" s="6" t="s">
        <v>31</v>
      </c>
      <c r="G24" s="7" t="s">
        <v>9</v>
      </c>
      <c r="H24" s="6" t="s">
        <v>172</v>
      </c>
      <c r="I24" s="6" t="s">
        <v>33</v>
      </c>
      <c r="J24" s="6" t="s">
        <v>173</v>
      </c>
      <c r="K24" s="6" t="s">
        <v>35</v>
      </c>
      <c r="L24" s="6" t="s">
        <v>136</v>
      </c>
      <c r="M24" s="6"/>
      <c r="N24" s="6"/>
    </row>
    <row r="25" customFormat="false" ht="23.85" hidden="false" customHeight="false" outlineLevel="0" collapsed="false">
      <c r="A25" s="6" t="s">
        <v>174</v>
      </c>
      <c r="B25" s="6" t="s">
        <v>175</v>
      </c>
      <c r="C25" s="6" t="s">
        <v>176</v>
      </c>
      <c r="D25" s="6" t="s">
        <v>177</v>
      </c>
      <c r="E25" s="7" t="s">
        <v>30</v>
      </c>
      <c r="F25" s="6" t="s">
        <v>79</v>
      </c>
      <c r="G25" s="9" t="s">
        <v>178</v>
      </c>
      <c r="H25" s="6" t="s">
        <v>177</v>
      </c>
      <c r="I25" s="6" t="s">
        <v>179</v>
      </c>
      <c r="J25" s="6" t="s">
        <v>180</v>
      </c>
      <c r="K25" s="6" t="s">
        <v>81</v>
      </c>
      <c r="L25" s="6" t="s">
        <v>181</v>
      </c>
      <c r="M25" s="6"/>
      <c r="N25" s="6"/>
    </row>
    <row r="26" customFormat="false" ht="23.85" hidden="false" customHeight="false" outlineLevel="0" collapsed="false">
      <c r="A26" s="6" t="s">
        <v>182</v>
      </c>
      <c r="B26" s="6" t="s">
        <v>183</v>
      </c>
      <c r="C26" s="6" t="s">
        <v>184</v>
      </c>
      <c r="D26" s="6" t="s">
        <v>177</v>
      </c>
      <c r="E26" s="9" t="s">
        <v>53</v>
      </c>
      <c r="F26" s="6" t="s">
        <v>79</v>
      </c>
      <c r="G26" s="7" t="s">
        <v>9</v>
      </c>
      <c r="H26" s="6" t="s">
        <v>177</v>
      </c>
      <c r="I26" s="6" t="s">
        <v>33</v>
      </c>
      <c r="J26" s="6" t="s">
        <v>134</v>
      </c>
      <c r="K26" s="6" t="s">
        <v>81</v>
      </c>
      <c r="L26" s="6" t="s">
        <v>185</v>
      </c>
      <c r="M26" s="6"/>
      <c r="N26" s="6"/>
    </row>
    <row r="27" customFormat="false" ht="35.05" hidden="false" customHeight="false" outlineLevel="0" collapsed="false">
      <c r="A27" s="6" t="s">
        <v>186</v>
      </c>
      <c r="B27" s="6" t="s">
        <v>187</v>
      </c>
      <c r="C27" s="6" t="s">
        <v>188</v>
      </c>
      <c r="D27" s="6" t="s">
        <v>189</v>
      </c>
      <c r="E27" s="7" t="s">
        <v>30</v>
      </c>
      <c r="F27" s="6" t="s">
        <v>41</v>
      </c>
      <c r="G27" s="7" t="s">
        <v>9</v>
      </c>
      <c r="H27" s="6" t="s">
        <v>189</v>
      </c>
      <c r="I27" s="6" t="s">
        <v>33</v>
      </c>
      <c r="J27" s="6" t="s">
        <v>134</v>
      </c>
      <c r="K27" s="6" t="s">
        <v>43</v>
      </c>
      <c r="L27" s="6" t="s">
        <v>185</v>
      </c>
      <c r="M27" s="6"/>
      <c r="N27" s="6"/>
    </row>
    <row r="28" customFormat="false" ht="15" hidden="false" customHeight="false" outlineLevel="0" collapsed="false">
      <c r="A28" s="6" t="s">
        <v>190</v>
      </c>
      <c r="B28" s="6" t="s">
        <v>191</v>
      </c>
      <c r="C28" s="6" t="s">
        <v>192</v>
      </c>
      <c r="D28" s="6" t="s">
        <v>189</v>
      </c>
      <c r="E28" s="9" t="s">
        <v>53</v>
      </c>
      <c r="F28" s="6" t="s">
        <v>193</v>
      </c>
      <c r="G28" s="7" t="s">
        <v>9</v>
      </c>
      <c r="H28" s="6" t="s">
        <v>189</v>
      </c>
      <c r="I28" s="6" t="s">
        <v>33</v>
      </c>
      <c r="J28" s="6" t="s">
        <v>134</v>
      </c>
      <c r="K28" s="6" t="s">
        <v>74</v>
      </c>
      <c r="L28" s="6" t="s">
        <v>185</v>
      </c>
      <c r="M28" s="6"/>
      <c r="N28" s="6"/>
    </row>
    <row r="29" customFormat="false" ht="23.85" hidden="false" customHeight="false" outlineLevel="0" collapsed="false">
      <c r="A29" s="6" t="s">
        <v>194</v>
      </c>
      <c r="B29" s="6" t="s">
        <v>195</v>
      </c>
      <c r="C29" s="6" t="s">
        <v>196</v>
      </c>
      <c r="D29" s="6" t="s">
        <v>189</v>
      </c>
      <c r="E29" s="10" t="s">
        <v>118</v>
      </c>
      <c r="F29" s="6" t="s">
        <v>79</v>
      </c>
      <c r="G29" s="7" t="s">
        <v>9</v>
      </c>
      <c r="H29" s="6" t="s">
        <v>189</v>
      </c>
      <c r="I29" s="6" t="s">
        <v>120</v>
      </c>
      <c r="J29" s="6" t="s">
        <v>134</v>
      </c>
      <c r="K29" s="6" t="s">
        <v>81</v>
      </c>
      <c r="L29" s="6" t="s">
        <v>185</v>
      </c>
      <c r="M29" s="6"/>
      <c r="N29" s="6"/>
    </row>
    <row r="30" customFormat="false" ht="23.85" hidden="false" customHeight="false" outlineLevel="0" collapsed="false">
      <c r="A30" s="6" t="s">
        <v>197</v>
      </c>
      <c r="B30" s="6" t="s">
        <v>198</v>
      </c>
      <c r="C30" s="6" t="s">
        <v>199</v>
      </c>
      <c r="D30" s="6" t="s">
        <v>189</v>
      </c>
      <c r="E30" s="8" t="s">
        <v>40</v>
      </c>
      <c r="F30" s="6" t="s">
        <v>31</v>
      </c>
      <c r="G30" s="7" t="s">
        <v>9</v>
      </c>
      <c r="H30" s="6" t="s">
        <v>189</v>
      </c>
      <c r="I30" s="6" t="s">
        <v>33</v>
      </c>
      <c r="J30" s="6" t="s">
        <v>200</v>
      </c>
      <c r="K30" s="6" t="s">
        <v>35</v>
      </c>
      <c r="L30" s="6" t="s">
        <v>136</v>
      </c>
      <c r="M30" s="6"/>
      <c r="N30" s="6"/>
    </row>
    <row r="31" customFormat="false" ht="35.05" hidden="false" customHeight="false" outlineLevel="0" collapsed="false">
      <c r="A31" s="6" t="s">
        <v>201</v>
      </c>
      <c r="B31" s="6" t="s">
        <v>202</v>
      </c>
      <c r="C31" s="6" t="s">
        <v>203</v>
      </c>
      <c r="D31" s="6" t="s">
        <v>204</v>
      </c>
      <c r="E31" s="9" t="s">
        <v>53</v>
      </c>
      <c r="F31" s="6" t="s">
        <v>41</v>
      </c>
      <c r="G31" s="7" t="s">
        <v>9</v>
      </c>
      <c r="H31" s="6" t="s">
        <v>204</v>
      </c>
      <c r="I31" s="6" t="s">
        <v>33</v>
      </c>
      <c r="J31" s="6" t="s">
        <v>200</v>
      </c>
      <c r="K31" s="6" t="s">
        <v>43</v>
      </c>
      <c r="L31" s="6" t="s">
        <v>136</v>
      </c>
      <c r="M31" s="6"/>
      <c r="N31" s="6"/>
    </row>
    <row r="32" customFormat="false" ht="23.85" hidden="false" customHeight="false" outlineLevel="0" collapsed="false">
      <c r="A32" s="6" t="s">
        <v>205</v>
      </c>
      <c r="B32" s="6" t="s">
        <v>206</v>
      </c>
      <c r="C32" s="6" t="s">
        <v>207</v>
      </c>
      <c r="D32" s="6" t="s">
        <v>155</v>
      </c>
      <c r="E32" s="7" t="s">
        <v>30</v>
      </c>
      <c r="F32" s="6" t="s">
        <v>31</v>
      </c>
      <c r="G32" s="7" t="s">
        <v>9</v>
      </c>
      <c r="H32" s="6" t="s">
        <v>155</v>
      </c>
      <c r="I32" s="6" t="s">
        <v>33</v>
      </c>
      <c r="J32" s="6" t="s">
        <v>208</v>
      </c>
      <c r="K32" s="6" t="s">
        <v>35</v>
      </c>
      <c r="L32" s="6" t="s">
        <v>136</v>
      </c>
      <c r="M32" s="6"/>
      <c r="N32" s="6"/>
    </row>
    <row r="33" customFormat="false" ht="23.85" hidden="false" customHeight="false" outlineLevel="0" collapsed="false">
      <c r="A33" s="6" t="s">
        <v>209</v>
      </c>
      <c r="B33" s="6" t="s">
        <v>210</v>
      </c>
      <c r="C33" s="6" t="s">
        <v>211</v>
      </c>
      <c r="D33" s="6" t="s">
        <v>212</v>
      </c>
      <c r="E33" s="9" t="s">
        <v>53</v>
      </c>
      <c r="F33" s="6" t="s">
        <v>213</v>
      </c>
      <c r="G33" s="7" t="s">
        <v>9</v>
      </c>
      <c r="H33" s="6" t="s">
        <v>212</v>
      </c>
      <c r="I33" s="6" t="s">
        <v>33</v>
      </c>
      <c r="J33" s="6" t="s">
        <v>214</v>
      </c>
      <c r="K33" s="6" t="s">
        <v>81</v>
      </c>
      <c r="L33" s="6" t="s">
        <v>136</v>
      </c>
      <c r="M33" s="6"/>
      <c r="N33" s="6"/>
    </row>
    <row r="34" customFormat="false" ht="23.85" hidden="false" customHeight="false" outlineLevel="0" collapsed="false">
      <c r="A34" s="6" t="s">
        <v>215</v>
      </c>
      <c r="B34" s="6" t="s">
        <v>216</v>
      </c>
      <c r="C34" s="6" t="s">
        <v>217</v>
      </c>
      <c r="D34" s="6" t="s">
        <v>218</v>
      </c>
      <c r="E34" s="7" t="s">
        <v>30</v>
      </c>
      <c r="F34" s="6" t="s">
        <v>31</v>
      </c>
      <c r="G34" s="7" t="s">
        <v>9</v>
      </c>
      <c r="H34" s="6" t="s">
        <v>218</v>
      </c>
      <c r="I34" s="6" t="s">
        <v>33</v>
      </c>
      <c r="J34" s="6" t="s">
        <v>219</v>
      </c>
      <c r="K34" s="6" t="s">
        <v>35</v>
      </c>
      <c r="L34" s="6" t="s">
        <v>136</v>
      </c>
      <c r="M34" s="6"/>
      <c r="N34" s="6"/>
    </row>
    <row r="35" customFormat="false" ht="23.85" hidden="false" customHeight="false" outlineLevel="0" collapsed="false">
      <c r="A35" s="6" t="s">
        <v>220</v>
      </c>
      <c r="B35" s="6" t="s">
        <v>221</v>
      </c>
      <c r="C35" s="6" t="s">
        <v>222</v>
      </c>
      <c r="D35" s="6" t="s">
        <v>223</v>
      </c>
      <c r="E35" s="9" t="s">
        <v>53</v>
      </c>
      <c r="F35" s="6" t="s">
        <v>224</v>
      </c>
      <c r="G35" s="7" t="s">
        <v>9</v>
      </c>
      <c r="H35" s="6" t="s">
        <v>223</v>
      </c>
      <c r="I35" s="6" t="s">
        <v>33</v>
      </c>
      <c r="J35" s="6" t="s">
        <v>225</v>
      </c>
      <c r="K35" s="6" t="s">
        <v>81</v>
      </c>
      <c r="L35" s="6" t="s">
        <v>136</v>
      </c>
      <c r="M35" s="6"/>
      <c r="N35" s="6"/>
    </row>
    <row r="36" customFormat="false" ht="23.85" hidden="false" customHeight="false" outlineLevel="0" collapsed="false">
      <c r="A36" s="6" t="s">
        <v>226</v>
      </c>
      <c r="B36" s="6" t="s">
        <v>227</v>
      </c>
      <c r="C36" s="6" t="s">
        <v>228</v>
      </c>
      <c r="D36" s="6" t="s">
        <v>223</v>
      </c>
      <c r="E36" s="9" t="s">
        <v>53</v>
      </c>
      <c r="F36" s="6" t="s">
        <v>229</v>
      </c>
      <c r="G36" s="7" t="s">
        <v>9</v>
      </c>
      <c r="H36" s="6" t="s">
        <v>223</v>
      </c>
      <c r="I36" s="6" t="s">
        <v>33</v>
      </c>
      <c r="J36" s="6" t="s">
        <v>230</v>
      </c>
      <c r="K36" s="6" t="s">
        <v>35</v>
      </c>
      <c r="L36" s="6" t="s">
        <v>136</v>
      </c>
      <c r="M36" s="6"/>
      <c r="N36" s="6"/>
    </row>
    <row r="37" customFormat="false" ht="23.85" hidden="false" customHeight="false" outlineLevel="0" collapsed="false">
      <c r="A37" s="6" t="s">
        <v>231</v>
      </c>
      <c r="B37" s="6" t="s">
        <v>232</v>
      </c>
      <c r="C37" s="6" t="s">
        <v>233</v>
      </c>
      <c r="D37" s="6" t="s">
        <v>234</v>
      </c>
      <c r="E37" s="9" t="s">
        <v>53</v>
      </c>
      <c r="F37" s="6" t="s">
        <v>126</v>
      </c>
      <c r="G37" s="7" t="s">
        <v>9</v>
      </c>
      <c r="H37" s="6" t="s">
        <v>234</v>
      </c>
      <c r="I37" s="6" t="s">
        <v>33</v>
      </c>
      <c r="J37" s="6" t="s">
        <v>127</v>
      </c>
      <c r="K37" s="6" t="s">
        <v>128</v>
      </c>
      <c r="L37" s="6" t="s">
        <v>136</v>
      </c>
      <c r="M37" s="6"/>
      <c r="N37" s="6"/>
    </row>
    <row r="38" customFormat="false" ht="23.85" hidden="false" customHeight="false" outlineLevel="0" collapsed="false">
      <c r="A38" s="6" t="s">
        <v>235</v>
      </c>
      <c r="B38" s="6" t="s">
        <v>236</v>
      </c>
      <c r="C38" s="6" t="s">
        <v>237</v>
      </c>
      <c r="D38" s="6" t="s">
        <v>234</v>
      </c>
      <c r="E38" s="7" t="s">
        <v>30</v>
      </c>
      <c r="F38" s="6" t="s">
        <v>238</v>
      </c>
      <c r="G38" s="9" t="s">
        <v>178</v>
      </c>
      <c r="H38" s="6" t="s">
        <v>234</v>
      </c>
      <c r="I38" s="6" t="s">
        <v>33</v>
      </c>
      <c r="J38" s="6" t="s">
        <v>239</v>
      </c>
      <c r="K38" s="6" t="s">
        <v>81</v>
      </c>
      <c r="L38" s="6" t="s">
        <v>136</v>
      </c>
      <c r="M38" s="6"/>
      <c r="N38" s="6"/>
    </row>
    <row r="39" customFormat="false" ht="23.85" hidden="false" customHeight="false" outlineLevel="0" collapsed="false">
      <c r="A39" s="6" t="s">
        <v>240</v>
      </c>
      <c r="B39" s="6" t="s">
        <v>241</v>
      </c>
      <c r="C39" s="6" t="s">
        <v>242</v>
      </c>
      <c r="D39" s="6" t="s">
        <v>234</v>
      </c>
      <c r="E39" s="9" t="s">
        <v>53</v>
      </c>
      <c r="F39" s="6" t="s">
        <v>243</v>
      </c>
      <c r="G39" s="7" t="s">
        <v>9</v>
      </c>
      <c r="H39" s="6" t="s">
        <v>234</v>
      </c>
      <c r="I39" s="6" t="s">
        <v>120</v>
      </c>
      <c r="J39" s="6" t="s">
        <v>244</v>
      </c>
      <c r="K39" s="6" t="s">
        <v>128</v>
      </c>
      <c r="L39" s="6" t="s">
        <v>136</v>
      </c>
      <c r="M39" s="6"/>
      <c r="N39" s="6"/>
    </row>
    <row r="40" customFormat="false" ht="35.05" hidden="false" customHeight="false" outlineLevel="0" collapsed="false">
      <c r="A40" s="6" t="s">
        <v>245</v>
      </c>
      <c r="B40" s="6" t="s">
        <v>246</v>
      </c>
      <c r="C40" s="6" t="s">
        <v>247</v>
      </c>
      <c r="D40" s="6" t="s">
        <v>234</v>
      </c>
      <c r="E40" s="10" t="s">
        <v>118</v>
      </c>
      <c r="F40" s="6" t="s">
        <v>41</v>
      </c>
      <c r="G40" s="7" t="s">
        <v>9</v>
      </c>
      <c r="H40" s="6" t="s">
        <v>234</v>
      </c>
      <c r="I40" s="6" t="s">
        <v>120</v>
      </c>
      <c r="J40" s="6" t="s">
        <v>248</v>
      </c>
      <c r="K40" s="6" t="s">
        <v>43</v>
      </c>
      <c r="L40" s="6" t="s">
        <v>136</v>
      </c>
      <c r="M40" s="6"/>
      <c r="N40" s="6"/>
    </row>
    <row r="41" customFormat="false" ht="23.85" hidden="false" customHeight="false" outlineLevel="0" collapsed="false">
      <c r="A41" s="6" t="s">
        <v>249</v>
      </c>
      <c r="B41" s="6" t="s">
        <v>250</v>
      </c>
      <c r="C41" s="6" t="s">
        <v>251</v>
      </c>
      <c r="D41" s="6" t="s">
        <v>252</v>
      </c>
      <c r="E41" s="10" t="s">
        <v>118</v>
      </c>
      <c r="F41" s="6" t="s">
        <v>79</v>
      </c>
      <c r="G41" s="7" t="s">
        <v>9</v>
      </c>
      <c r="H41" s="6" t="s">
        <v>252</v>
      </c>
      <c r="I41" s="6" t="s">
        <v>120</v>
      </c>
      <c r="J41" s="6" t="s">
        <v>253</v>
      </c>
      <c r="K41" s="6" t="s">
        <v>81</v>
      </c>
      <c r="L41" s="6" t="s">
        <v>136</v>
      </c>
      <c r="M41" s="6"/>
      <c r="N41" s="6"/>
    </row>
    <row r="42" customFormat="false" ht="35.05" hidden="false" customHeight="false" outlineLevel="0" collapsed="false">
      <c r="A42" s="6" t="s">
        <v>254</v>
      </c>
      <c r="B42" s="6" t="s">
        <v>255</v>
      </c>
      <c r="C42" s="6" t="s">
        <v>256</v>
      </c>
      <c r="D42" s="6" t="s">
        <v>252</v>
      </c>
      <c r="E42" s="9" t="s">
        <v>53</v>
      </c>
      <c r="F42" s="6" t="s">
        <v>257</v>
      </c>
      <c r="G42" s="7" t="s">
        <v>9</v>
      </c>
      <c r="H42" s="6" t="s">
        <v>252</v>
      </c>
      <c r="I42" s="6" t="s">
        <v>120</v>
      </c>
      <c r="J42" s="6" t="s">
        <v>253</v>
      </c>
      <c r="K42" s="6" t="s">
        <v>67</v>
      </c>
      <c r="L42" s="6" t="s">
        <v>136</v>
      </c>
      <c r="M42" s="6"/>
      <c r="N42" s="6"/>
    </row>
    <row r="43" customFormat="false" ht="35.05" hidden="false" customHeight="false" outlineLevel="0" collapsed="false">
      <c r="A43" s="6" t="s">
        <v>258</v>
      </c>
      <c r="B43" s="6" t="s">
        <v>259</v>
      </c>
      <c r="C43" s="6" t="s">
        <v>260</v>
      </c>
      <c r="D43" s="6" t="s">
        <v>155</v>
      </c>
      <c r="E43" s="9" t="s">
        <v>53</v>
      </c>
      <c r="F43" s="6" t="s">
        <v>41</v>
      </c>
      <c r="G43" s="7" t="s">
        <v>9</v>
      </c>
      <c r="H43" s="6" t="s">
        <v>155</v>
      </c>
      <c r="I43" s="6" t="s">
        <v>33</v>
      </c>
      <c r="J43" s="6" t="s">
        <v>261</v>
      </c>
      <c r="K43" s="6" t="s">
        <v>43</v>
      </c>
      <c r="L43" s="6" t="s">
        <v>136</v>
      </c>
      <c r="M43" s="6"/>
      <c r="N43" s="6"/>
    </row>
    <row r="44" customFormat="false" ht="57.45" hidden="false" customHeight="false" outlineLevel="0" collapsed="false">
      <c r="A44" s="6" t="s">
        <v>262</v>
      </c>
      <c r="B44" s="6" t="s">
        <v>263</v>
      </c>
      <c r="C44" s="6" t="s">
        <v>264</v>
      </c>
      <c r="D44" s="6" t="s">
        <v>265</v>
      </c>
      <c r="E44" s="7" t="s">
        <v>30</v>
      </c>
      <c r="F44" s="6" t="s">
        <v>143</v>
      </c>
      <c r="G44" s="11" t="s">
        <v>8</v>
      </c>
      <c r="H44" s="6" t="s">
        <v>265</v>
      </c>
      <c r="I44" s="6" t="s">
        <v>266</v>
      </c>
      <c r="J44" s="6" t="s">
        <v>267</v>
      </c>
      <c r="K44" s="6" t="s">
        <v>145</v>
      </c>
      <c r="L44" s="6" t="s">
        <v>136</v>
      </c>
      <c r="M44" s="6" t="s">
        <v>268</v>
      </c>
      <c r="N44" s="6" t="s">
        <v>138</v>
      </c>
    </row>
    <row r="45" customFormat="false" ht="35.05" hidden="false" customHeight="false" outlineLevel="0" collapsed="false">
      <c r="A45" s="6" t="s">
        <v>269</v>
      </c>
      <c r="B45" s="6" t="s">
        <v>270</v>
      </c>
      <c r="C45" s="6" t="s">
        <v>271</v>
      </c>
      <c r="D45" s="6" t="s">
        <v>212</v>
      </c>
      <c r="E45" s="9" t="s">
        <v>53</v>
      </c>
      <c r="F45" s="6" t="s">
        <v>41</v>
      </c>
      <c r="G45" s="9" t="s">
        <v>178</v>
      </c>
      <c r="H45" s="6" t="s">
        <v>161</v>
      </c>
      <c r="I45" s="6" t="s">
        <v>33</v>
      </c>
      <c r="J45" s="6" t="s">
        <v>272</v>
      </c>
      <c r="K45" s="6" t="s">
        <v>43</v>
      </c>
      <c r="L45" s="6" t="s">
        <v>136</v>
      </c>
      <c r="M45" s="6"/>
      <c r="N45" s="6"/>
    </row>
    <row r="46" customFormat="false" ht="23.85" hidden="false" customHeight="false" outlineLevel="0" collapsed="false">
      <c r="A46" s="6" t="s">
        <v>273</v>
      </c>
      <c r="B46" s="6" t="s">
        <v>274</v>
      </c>
      <c r="C46" s="6" t="s">
        <v>275</v>
      </c>
      <c r="D46" s="6" t="s">
        <v>212</v>
      </c>
      <c r="E46" s="10" t="s">
        <v>118</v>
      </c>
      <c r="F46" s="6" t="s">
        <v>31</v>
      </c>
      <c r="G46" s="7" t="s">
        <v>9</v>
      </c>
      <c r="H46" s="6" t="s">
        <v>212</v>
      </c>
      <c r="I46" s="6" t="s">
        <v>120</v>
      </c>
      <c r="J46" s="6" t="s">
        <v>134</v>
      </c>
      <c r="K46" s="6" t="s">
        <v>35</v>
      </c>
      <c r="L46" s="6" t="s">
        <v>276</v>
      </c>
      <c r="M46" s="6"/>
      <c r="N46" s="6"/>
    </row>
    <row r="47" customFormat="false" ht="35.05" hidden="false" customHeight="false" outlineLevel="0" collapsed="false">
      <c r="A47" s="6" t="s">
        <v>277</v>
      </c>
      <c r="B47" s="6" t="s">
        <v>278</v>
      </c>
      <c r="C47" s="6" t="s">
        <v>279</v>
      </c>
      <c r="D47" s="6" t="s">
        <v>280</v>
      </c>
      <c r="E47" s="7" t="s">
        <v>30</v>
      </c>
      <c r="F47" s="6" t="s">
        <v>143</v>
      </c>
      <c r="G47" s="7" t="s">
        <v>9</v>
      </c>
      <c r="H47" s="6" t="s">
        <v>281</v>
      </c>
      <c r="I47" s="6" t="s">
        <v>282</v>
      </c>
      <c r="J47" s="6" t="s">
        <v>283</v>
      </c>
      <c r="K47" s="6" t="s">
        <v>145</v>
      </c>
      <c r="L47" s="6" t="s">
        <v>284</v>
      </c>
      <c r="M47" s="6"/>
      <c r="N47" s="6"/>
    </row>
    <row r="48" customFormat="false" ht="35.05" hidden="false" customHeight="false" outlineLevel="0" collapsed="false">
      <c r="A48" s="6" t="s">
        <v>285</v>
      </c>
      <c r="B48" s="6" t="s">
        <v>286</v>
      </c>
      <c r="C48" s="6" t="s">
        <v>287</v>
      </c>
      <c r="D48" s="6" t="s">
        <v>288</v>
      </c>
      <c r="E48" s="9" t="s">
        <v>53</v>
      </c>
      <c r="F48" s="6" t="s">
        <v>79</v>
      </c>
      <c r="G48" s="7" t="s">
        <v>9</v>
      </c>
      <c r="H48" s="6" t="s">
        <v>289</v>
      </c>
      <c r="I48" s="6" t="s">
        <v>33</v>
      </c>
      <c r="J48" s="6" t="s">
        <v>290</v>
      </c>
      <c r="K48" s="6" t="s">
        <v>81</v>
      </c>
      <c r="L48" s="6" t="s">
        <v>284</v>
      </c>
      <c r="M48" s="6"/>
      <c r="N48" s="6"/>
    </row>
    <row r="49" customFormat="false" ht="35.05" hidden="false" customHeight="false" outlineLevel="0" collapsed="false">
      <c r="A49" s="6" t="s">
        <v>291</v>
      </c>
      <c r="B49" s="6" t="s">
        <v>292</v>
      </c>
      <c r="C49" s="6" t="s">
        <v>293</v>
      </c>
      <c r="D49" s="6" t="s">
        <v>280</v>
      </c>
      <c r="E49" s="9" t="s">
        <v>53</v>
      </c>
      <c r="F49" s="6" t="s">
        <v>243</v>
      </c>
      <c r="G49" s="7" t="s">
        <v>9</v>
      </c>
      <c r="H49" s="6" t="s">
        <v>281</v>
      </c>
      <c r="I49" s="6" t="s">
        <v>33</v>
      </c>
      <c r="J49" s="6" t="s">
        <v>134</v>
      </c>
      <c r="K49" s="6" t="s">
        <v>128</v>
      </c>
      <c r="L49" s="6" t="s">
        <v>294</v>
      </c>
      <c r="M49" s="6"/>
      <c r="N49" s="6"/>
    </row>
    <row r="50" customFormat="false" ht="23.85" hidden="false" customHeight="false" outlineLevel="0" collapsed="false">
      <c r="A50" s="6" t="s">
        <v>295</v>
      </c>
      <c r="B50" s="6" t="s">
        <v>296</v>
      </c>
      <c r="C50" s="6" t="s">
        <v>297</v>
      </c>
      <c r="D50" s="6" t="s">
        <v>280</v>
      </c>
      <c r="E50" s="9" t="s">
        <v>53</v>
      </c>
      <c r="F50" s="6" t="s">
        <v>229</v>
      </c>
      <c r="G50" s="7" t="s">
        <v>9</v>
      </c>
      <c r="H50" s="6" t="s">
        <v>281</v>
      </c>
      <c r="I50" s="6" t="s">
        <v>33</v>
      </c>
      <c r="J50" s="6" t="s">
        <v>290</v>
      </c>
      <c r="K50" s="6" t="s">
        <v>35</v>
      </c>
      <c r="L50" s="6" t="s">
        <v>294</v>
      </c>
      <c r="M50" s="6"/>
      <c r="N50" s="6"/>
    </row>
    <row r="51" customFormat="false" ht="23.85" hidden="false" customHeight="false" outlineLevel="0" collapsed="false">
      <c r="A51" s="6" t="s">
        <v>298</v>
      </c>
      <c r="B51" s="6" t="s">
        <v>299</v>
      </c>
      <c r="C51" s="6" t="s">
        <v>300</v>
      </c>
      <c r="D51" s="6" t="s">
        <v>288</v>
      </c>
      <c r="E51" s="9" t="s">
        <v>53</v>
      </c>
      <c r="F51" s="6" t="s">
        <v>31</v>
      </c>
      <c r="G51" s="7" t="s">
        <v>9</v>
      </c>
      <c r="H51" s="6" t="s">
        <v>289</v>
      </c>
      <c r="I51" s="6" t="s">
        <v>33</v>
      </c>
      <c r="J51" s="6" t="s">
        <v>290</v>
      </c>
      <c r="K51" s="6" t="s">
        <v>35</v>
      </c>
      <c r="L51" s="6" t="s">
        <v>134</v>
      </c>
      <c r="M51" s="6"/>
      <c r="N51" s="6"/>
    </row>
  </sheetData>
  <autoFilter ref="A1:N51"/>
  <dataValidations count="1">
    <dataValidation allowBlank="false" errorStyle="stop" operator="between" showDropDown="false" showErrorMessage="false" showInputMessage="false" sqref="G2:G51" type="list">
      <formula1>"Confirmed,Proposed,To Be Verified"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70"/>
    <col collapsed="false" customWidth="true" hidden="false" outlineLevel="0" max="3" min="3" style="0" width="40"/>
    <col collapsed="false" customWidth="true" hidden="false" outlineLevel="0" max="4" min="4" style="0" width="13"/>
    <col collapsed="false" customWidth="true" hidden="false" outlineLevel="0" max="5" min="5" style="0" width="14"/>
    <col collapsed="false" customWidth="true" hidden="false" outlineLevel="0" max="6" min="6" style="0" width="15"/>
    <col collapsed="false" customWidth="true" hidden="false" outlineLevel="0" max="7" min="7" style="0" width="60"/>
  </cols>
  <sheetData>
    <row r="1" customFormat="false" ht="15" hidden="false" customHeight="false" outlineLevel="0" collapsed="false">
      <c r="A1" s="5" t="s">
        <v>301</v>
      </c>
      <c r="B1" s="5" t="s">
        <v>302</v>
      </c>
      <c r="C1" s="5" t="s">
        <v>303</v>
      </c>
      <c r="D1" s="5" t="s">
        <v>304</v>
      </c>
      <c r="E1" s="5" t="s">
        <v>305</v>
      </c>
      <c r="F1" s="5" t="s">
        <v>18</v>
      </c>
      <c r="G1" s="5" t="s">
        <v>306</v>
      </c>
    </row>
    <row r="2" customFormat="false" ht="23.85" hidden="false" customHeight="false" outlineLevel="0" collapsed="false">
      <c r="A2" s="6" t="s">
        <v>307</v>
      </c>
      <c r="B2" s="6" t="s">
        <v>308</v>
      </c>
      <c r="C2" s="6" t="s">
        <v>309</v>
      </c>
      <c r="D2" s="6" t="s">
        <v>310</v>
      </c>
      <c r="E2" s="6" t="s">
        <v>311</v>
      </c>
      <c r="F2" s="11" t="s">
        <v>8</v>
      </c>
      <c r="G2" s="6" t="s">
        <v>312</v>
      </c>
    </row>
    <row r="3" customFormat="false" ht="23.85" hidden="false" customHeight="false" outlineLevel="0" collapsed="false">
      <c r="A3" s="6" t="s">
        <v>313</v>
      </c>
      <c r="B3" s="6" t="s">
        <v>314</v>
      </c>
      <c r="C3" s="6" t="s">
        <v>315</v>
      </c>
      <c r="D3" s="6" t="s">
        <v>310</v>
      </c>
      <c r="E3" s="6" t="s">
        <v>311</v>
      </c>
      <c r="F3" s="11" t="s">
        <v>8</v>
      </c>
      <c r="G3" s="6" t="s">
        <v>316</v>
      </c>
    </row>
    <row r="4" customFormat="false" ht="35.05" hidden="false" customHeight="false" outlineLevel="0" collapsed="false">
      <c r="A4" s="6" t="s">
        <v>317</v>
      </c>
      <c r="B4" s="6" t="s">
        <v>318</v>
      </c>
      <c r="C4" s="6" t="s">
        <v>319</v>
      </c>
      <c r="D4" s="6" t="s">
        <v>310</v>
      </c>
      <c r="E4" s="6" t="s">
        <v>311</v>
      </c>
      <c r="F4" s="9" t="s">
        <v>178</v>
      </c>
      <c r="G4" s="6" t="s">
        <v>320</v>
      </c>
    </row>
    <row r="5" customFormat="false" ht="23.85" hidden="false" customHeight="false" outlineLevel="0" collapsed="false">
      <c r="A5" s="6" t="s">
        <v>321</v>
      </c>
      <c r="B5" s="6" t="s">
        <v>322</v>
      </c>
      <c r="C5" s="6" t="s">
        <v>323</v>
      </c>
      <c r="D5" s="6" t="s">
        <v>310</v>
      </c>
      <c r="E5" s="6" t="s">
        <v>311</v>
      </c>
      <c r="F5" s="9" t="s">
        <v>178</v>
      </c>
      <c r="G5" s="6" t="s">
        <v>324</v>
      </c>
    </row>
    <row r="6" customFormat="false" ht="23.85" hidden="false" customHeight="false" outlineLevel="0" collapsed="false">
      <c r="A6" s="6" t="s">
        <v>325</v>
      </c>
      <c r="B6" s="6" t="s">
        <v>326</v>
      </c>
      <c r="C6" s="6" t="s">
        <v>327</v>
      </c>
      <c r="D6" s="6" t="s">
        <v>310</v>
      </c>
      <c r="E6" s="6" t="s">
        <v>311</v>
      </c>
      <c r="F6" s="9" t="s">
        <v>178</v>
      </c>
      <c r="G6" s="6" t="s">
        <v>328</v>
      </c>
    </row>
    <row r="7" customFormat="false" ht="35.05" hidden="false" customHeight="false" outlineLevel="0" collapsed="false">
      <c r="A7" s="6" t="s">
        <v>329</v>
      </c>
      <c r="B7" s="6" t="s">
        <v>330</v>
      </c>
      <c r="C7" s="6" t="s">
        <v>331</v>
      </c>
      <c r="D7" s="6" t="s">
        <v>332</v>
      </c>
      <c r="E7" s="6" t="s">
        <v>311</v>
      </c>
      <c r="F7" s="9" t="s">
        <v>178</v>
      </c>
      <c r="G7" s="6" t="s">
        <v>333</v>
      </c>
    </row>
    <row r="8" customFormat="false" ht="35.05" hidden="false" customHeight="false" outlineLevel="0" collapsed="false">
      <c r="A8" s="6" t="s">
        <v>334</v>
      </c>
      <c r="B8" s="6" t="s">
        <v>335</v>
      </c>
      <c r="C8" s="6" t="s">
        <v>336</v>
      </c>
      <c r="D8" s="6" t="s">
        <v>310</v>
      </c>
      <c r="E8" s="6" t="s">
        <v>311</v>
      </c>
      <c r="F8" s="11" t="s">
        <v>8</v>
      </c>
      <c r="G8" s="6" t="s">
        <v>337</v>
      </c>
    </row>
    <row r="9" customFormat="false" ht="35.05" hidden="false" customHeight="false" outlineLevel="0" collapsed="false">
      <c r="A9" s="6" t="s">
        <v>338</v>
      </c>
      <c r="B9" s="6" t="s">
        <v>339</v>
      </c>
      <c r="C9" s="6" t="s">
        <v>340</v>
      </c>
      <c r="D9" s="6" t="s">
        <v>341</v>
      </c>
      <c r="E9" s="6" t="s">
        <v>311</v>
      </c>
      <c r="F9" s="7" t="s">
        <v>9</v>
      </c>
      <c r="G9" s="6" t="s">
        <v>342</v>
      </c>
    </row>
    <row r="10" customFormat="false" ht="23.85" hidden="false" customHeight="false" outlineLevel="0" collapsed="false">
      <c r="A10" s="6" t="s">
        <v>343</v>
      </c>
      <c r="B10" s="6" t="s">
        <v>344</v>
      </c>
      <c r="C10" s="6" t="s">
        <v>345</v>
      </c>
      <c r="D10" s="6" t="s">
        <v>310</v>
      </c>
      <c r="E10" s="6" t="s">
        <v>311</v>
      </c>
      <c r="F10" s="7" t="s">
        <v>9</v>
      </c>
      <c r="G10" s="6" t="s">
        <v>346</v>
      </c>
    </row>
    <row r="11" customFormat="false" ht="35.05" hidden="false" customHeight="false" outlineLevel="0" collapsed="false">
      <c r="A11" s="6" t="s">
        <v>347</v>
      </c>
      <c r="B11" s="6" t="s">
        <v>348</v>
      </c>
      <c r="C11" s="6" t="s">
        <v>349</v>
      </c>
      <c r="D11" s="6" t="s">
        <v>332</v>
      </c>
      <c r="E11" s="6" t="s">
        <v>350</v>
      </c>
      <c r="F11" s="11" t="s">
        <v>8</v>
      </c>
      <c r="G11" s="6" t="s">
        <v>351</v>
      </c>
    </row>
    <row r="12" customFormat="false" ht="23.85" hidden="false" customHeight="false" outlineLevel="0" collapsed="false">
      <c r="A12" s="6" t="s">
        <v>352</v>
      </c>
      <c r="B12" s="6" t="s">
        <v>353</v>
      </c>
      <c r="C12" s="6" t="s">
        <v>354</v>
      </c>
      <c r="D12" s="6" t="s">
        <v>332</v>
      </c>
      <c r="E12" s="6" t="s">
        <v>350</v>
      </c>
      <c r="F12" s="11" t="s">
        <v>8</v>
      </c>
      <c r="G12" s="6" t="s">
        <v>355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4" min="3" style="0" width="12"/>
    <col collapsed="false" customWidth="true" hidden="false" outlineLevel="0" max="5" min="5" style="0" width="10"/>
  </cols>
  <sheetData>
    <row r="1" customFormat="false" ht="15" hidden="false" customHeight="false" outlineLevel="0" collapsed="false">
      <c r="A1" s="5" t="s">
        <v>16</v>
      </c>
      <c r="B1" s="5" t="s">
        <v>9</v>
      </c>
      <c r="C1" s="5" t="s">
        <v>178</v>
      </c>
      <c r="D1" s="5" t="s">
        <v>8</v>
      </c>
      <c r="E1" s="5" t="s">
        <v>356</v>
      </c>
    </row>
    <row r="2" customFormat="false" ht="15" hidden="false" customHeight="false" outlineLevel="0" collapsed="false">
      <c r="A2" s="6" t="s">
        <v>40</v>
      </c>
      <c r="B2" s="6" t="n">
        <f aca="false">COUNTIFS(Assumption_Register!E:E,A2,Assumption_Register!G:G,"To Be Verified")</f>
        <v>5</v>
      </c>
      <c r="C2" s="6" t="n">
        <f aca="false">COUNTIFS(Assumption_Register!E:E,A2,Assumption_Register!G:G,"Proposed")</f>
        <v>0</v>
      </c>
      <c r="D2" s="6" t="n">
        <f aca="false">COUNTIFS(Assumption_Register!E:E,A2,Assumption_Register!G:G,"Confirmed")</f>
        <v>0</v>
      </c>
      <c r="E2" s="6" t="n">
        <f aca="false">SUM(B2:D2)</f>
        <v>5</v>
      </c>
    </row>
    <row r="3" customFormat="false" ht="15" hidden="false" customHeight="false" outlineLevel="0" collapsed="false">
      <c r="A3" s="6" t="s">
        <v>30</v>
      </c>
      <c r="B3" s="6" t="n">
        <f aca="false">COUNTIFS(Assumption_Register!E:E,A3,Assumption_Register!G:G,"To Be Verified")</f>
        <v>16</v>
      </c>
      <c r="C3" s="6" t="n">
        <f aca="false">COUNTIFS(Assumption_Register!E:E,A3,Assumption_Register!G:G,"Proposed")</f>
        <v>2</v>
      </c>
      <c r="D3" s="6" t="n">
        <f aca="false">COUNTIFS(Assumption_Register!E:E,A3,Assumption_Register!G:G,"Confirmed")</f>
        <v>1</v>
      </c>
      <c r="E3" s="6" t="n">
        <f aca="false">SUM(B3:D3)</f>
        <v>19</v>
      </c>
    </row>
    <row r="4" customFormat="false" ht="15" hidden="false" customHeight="false" outlineLevel="0" collapsed="false">
      <c r="A4" s="6" t="s">
        <v>53</v>
      </c>
      <c r="B4" s="6" t="n">
        <f aca="false">COUNTIFS(Assumption_Register!E:E,A4,Assumption_Register!G:G,"To Be Verified")</f>
        <v>19</v>
      </c>
      <c r="C4" s="6" t="n">
        <f aca="false">COUNTIFS(Assumption_Register!E:E,A4,Assumption_Register!G:G,"Proposed")</f>
        <v>1</v>
      </c>
      <c r="D4" s="6" t="n">
        <f aca="false">COUNTIFS(Assumption_Register!E:E,A4,Assumption_Register!G:G,"Confirmed")</f>
        <v>1</v>
      </c>
      <c r="E4" s="6" t="n">
        <f aca="false">SUM(B4:D4)</f>
        <v>21</v>
      </c>
    </row>
    <row r="5" customFormat="false" ht="15" hidden="false" customHeight="false" outlineLevel="0" collapsed="false">
      <c r="A5" s="6" t="s">
        <v>118</v>
      </c>
      <c r="B5" s="6" t="n">
        <f aca="false">COUNTIFS(Assumption_Register!E:E,A5,Assumption_Register!G:G,"To Be Verified")</f>
        <v>5</v>
      </c>
      <c r="C5" s="6" t="n">
        <f aca="false">COUNTIFS(Assumption_Register!E:E,A5,Assumption_Register!G:G,"Proposed")</f>
        <v>0</v>
      </c>
      <c r="D5" s="6" t="n">
        <f aca="false">COUNTIFS(Assumption_Register!E:E,A5,Assumption_Register!G:G,"Confirmed")</f>
        <v>0</v>
      </c>
      <c r="E5" s="6" t="n">
        <f aca="false">SUM(B5:D5)</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4"/>
  </cols>
  <sheetData>
    <row r="1" customFormat="false" ht="15" hidden="false" customHeight="false" outlineLevel="0" collapsed="false">
      <c r="A1" s="5" t="s">
        <v>20</v>
      </c>
      <c r="B1" s="5" t="s">
        <v>357</v>
      </c>
    </row>
    <row r="2" customFormat="false" ht="15" hidden="false" customHeight="false" outlineLevel="0" collapsed="false">
      <c r="A2" s="6" t="s">
        <v>266</v>
      </c>
      <c r="B2" s="6" t="n">
        <f aca="false">COUNTIF(Assumption_Register!I:I,A2)</f>
        <v>1</v>
      </c>
    </row>
    <row r="3" customFormat="false" ht="15" hidden="false" customHeight="false" outlineLevel="0" collapsed="false">
      <c r="A3" s="6" t="s">
        <v>282</v>
      </c>
      <c r="B3" s="6" t="n">
        <f aca="false">COUNTIF(Assumption_Register!I:I,A3)</f>
        <v>1</v>
      </c>
    </row>
    <row r="4" customFormat="false" ht="15" hidden="false" customHeight="false" outlineLevel="0" collapsed="false">
      <c r="A4" s="6" t="s">
        <v>54</v>
      </c>
      <c r="B4" s="6" t="n">
        <f aca="false">COUNTIF(Assumption_Register!I:I,A4)</f>
        <v>5</v>
      </c>
    </row>
    <row r="5" customFormat="false" ht="15" hidden="false" customHeight="false" outlineLevel="0" collapsed="false">
      <c r="A5" s="6" t="s">
        <v>120</v>
      </c>
      <c r="B5" s="6" t="n">
        <f aca="false">COUNTIF(Assumption_Register!I:I,A5)</f>
        <v>7</v>
      </c>
    </row>
    <row r="6" customFormat="false" ht="15" hidden="false" customHeight="false" outlineLevel="0" collapsed="false">
      <c r="A6" s="6" t="s">
        <v>33</v>
      </c>
      <c r="B6" s="6" t="n">
        <f aca="false">COUNTIF(Assumption_Register!I:I,A6)</f>
        <v>35</v>
      </c>
    </row>
    <row r="7" customFormat="false" ht="15" hidden="false" customHeight="false" outlineLevel="0" collapsed="false">
      <c r="A7" s="6" t="s">
        <v>179</v>
      </c>
      <c r="B7" s="6" t="n">
        <f aca="false">COUNTIF(Assumption_Register!I:I,A7)</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2026-10-13T06:05:09Z</dcterms:created>
  <dc:creator>openpyxl</dc:creator>
  <dc:description/>
  <dc:language>en-US</dc:language>
  <cp:lastModifiedBy/>
  <dcterms:modified xsi:type="dcterms:W3CDTF">2026-10-13T06:05:09Z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