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D1_Wallet_Fields" sheetId="2" state="visible" r:id="rId4"/>
    <sheet name="D1_Transaction_Types" sheetId="3" state="visible" r:id="rId5"/>
    <sheet name="D2_Withdrawal_Fields" sheetId="4" state="visible" r:id="rId6"/>
    <sheet name="D2_Withdrawal_States" sheetId="5" state="visible" r:id="rId7"/>
    <sheet name="D2_Transitions" sheetId="6" state="visible" r:id="rId8"/>
    <sheet name="D2_Reason_Categories" sheetId="7" state="visible" r:id="rId9"/>
    <sheet name="D3_Withdrawal_KPIs" sheetId="8" state="visible" r:id="rId10"/>
    <sheet name="Reconciliation_Checks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<sst xmlns="http://schemas.openxmlformats.org/spreadsheetml/2006/main" count="521" uniqueCount="311">
  <si>
    <t xml:space="preserve">VELOOP REWARDS - Task 01 | Work Package D: Wallet &amp; Withdrawal Analytics Specification</t>
  </si>
  <si>
    <t xml:space="preserve">Every field, status, category and KPI is Proposed or To Be Verified. Nothing is claimed to exist in VELOOP today. No simulated or real VELOOP statistics are included.</t>
  </si>
  <si>
    <t xml:space="preserve">Design choices: append-only ledger (reversals are new linked entries), amount positive with a direction field, no mixing of units, no invented fees, limits or fraud thresholds.</t>
  </si>
  <si>
    <t xml:space="preserve">Open questions:</t>
  </si>
  <si>
    <t xml:space="preserve">- Which withdrawal methods exist, and are they all manual? (A006, A007)</t>
  </si>
  <si>
    <t xml:space="preserve">- Is the wallet amount held or debited at request time, or only on completion? This changes balance and pending-queue logic.</t>
  </si>
  <si>
    <t xml:space="preserve">- Are there fees, limits or minimum amounts? (None are invented here.)</t>
  </si>
  <si>
    <t xml:space="preserve">- In what unit are withdrawals paid, and how does it relate to reward units? (A002)</t>
  </si>
  <si>
    <t xml:space="preserve">- Can a user cancel a withdrawal before processing?</t>
  </si>
  <si>
    <t xml:space="preserve">- Is the wallet an append-only ledger today, or are balances edited in place?</t>
  </si>
  <si>
    <t xml:space="preserve">- Does a payout provider return its own reference and status? (A009)</t>
  </si>
  <si>
    <t xml:space="preserve">Live counts</t>
  </si>
  <si>
    <t xml:space="preserve">Wallet fields (D1)</t>
  </si>
  <si>
    <t xml:space="preserve">Withdrawal fields (D2)</t>
  </si>
  <si>
    <t xml:space="preserve">Withdrawal KPIs (D3)</t>
  </si>
  <si>
    <t xml:space="preserve">Reconciliation checks</t>
  </si>
  <si>
    <t xml:space="preserve">Critical reconciliation checks</t>
  </si>
  <si>
    <t xml:space="preserve">Field</t>
  </si>
  <si>
    <t xml:space="preserve">Type</t>
  </si>
  <si>
    <t xml:space="preserve">Required?</t>
  </si>
  <si>
    <t xml:space="preserve">Definition</t>
  </si>
  <si>
    <t xml:space="preserve">Validation</t>
  </si>
  <si>
    <t xml:space="preserve">Status</t>
  </si>
  <si>
    <t xml:space="preserve">transaction_id</t>
  </si>
  <si>
    <t xml:space="preserve">string</t>
  </si>
  <si>
    <t xml:space="preserve">Yes</t>
  </si>
  <si>
    <t xml:space="preserve">Unique key for one wallet ledger entry</t>
  </si>
  <si>
    <t xml:space="preserve">Unique; immutable; generated server-side</t>
  </si>
  <si>
    <t xml:space="preserve">To Be Verified</t>
  </si>
  <si>
    <t xml:space="preserve">idempotency_key</t>
  </si>
  <si>
    <t xml:space="preserve">Optional</t>
  </si>
  <si>
    <t xml:space="preserve">Key that makes a repeated request create only one entry</t>
  </si>
  <si>
    <t xml:space="preserve">Unique per originating request</t>
  </si>
  <si>
    <t xml:space="preserve">Proposed</t>
  </si>
  <si>
    <t xml:space="preserve">user_id</t>
  </si>
  <si>
    <t xml:space="preserve">Owner of the wallet entry</t>
  </si>
  <si>
    <t xml:space="preserve">Must exist in Users</t>
  </si>
  <si>
    <t xml:space="preserve">created_at</t>
  </si>
  <si>
    <t xml:space="preserve">timestamp (UTC)</t>
  </si>
  <si>
    <t xml:space="preserve">When the entry was created</t>
  </si>
  <si>
    <t xml:space="preserve">ISO 8601 UTC; not in the future</t>
  </si>
  <si>
    <t xml:space="preserve">completed_at</t>
  </si>
  <si>
    <t xml:space="preserve">Conditional</t>
  </si>
  <si>
    <t xml:space="preserve">When the entry became final</t>
  </si>
  <si>
    <t xml:space="preserve">Required when status = completed; not before created_at</t>
  </si>
  <si>
    <t xml:space="preserve">transaction_type</t>
  </si>
  <si>
    <t xml:space="preserve">string (enum)</t>
  </si>
  <si>
    <t xml:space="preserve">Kind of entry (see transaction types)</t>
  </si>
  <si>
    <t xml:space="preserve">Approved list only</t>
  </si>
  <si>
    <t xml:space="preserve">direction</t>
  </si>
  <si>
    <t xml:space="preserve">credit (adds to balance) or debit (reduces it)</t>
  </si>
  <si>
    <t xml:space="preserve">credit or debit; must agree with transaction_type</t>
  </si>
  <si>
    <t xml:space="preserve">amount</t>
  </si>
  <si>
    <t xml:space="preserve">decimal</t>
  </si>
  <si>
    <t xml:space="preserve">Size of the entry, stored as a positive number; direction gives the sign</t>
  </si>
  <si>
    <t xml:space="preserve">Greater than 0</t>
  </si>
  <si>
    <t xml:space="preserve">unit</t>
  </si>
  <si>
    <t xml:space="preserve">Unit of the amount (real VELOOP units only)</t>
  </si>
  <si>
    <t xml:space="preserve">Approved list; never mixed within one entry</t>
  </si>
  <si>
    <t xml:space="preserve">status</t>
  </si>
  <si>
    <t xml:space="preserve">State of the entry</t>
  </si>
  <si>
    <t xml:space="preserve">created, completed, failed, reversed</t>
  </si>
  <si>
    <t xml:space="preserve">source_feature</t>
  </si>
  <si>
    <t xml:space="preserve">Feature that caused the entry (task, spin, referral, withdrawal, exchange...)</t>
  </si>
  <si>
    <t xml:space="preserve">Approved list</t>
  </si>
  <si>
    <t xml:space="preserve">reference_id</t>
  </si>
  <si>
    <t xml:space="preserve">Id of the record that caused the entry (reward_id, withdrawal_id, exchange id)</t>
  </si>
  <si>
    <t xml:space="preserve">Must exist in the referenced table</t>
  </si>
  <si>
    <t xml:space="preserve">related_transaction_id</t>
  </si>
  <si>
    <t xml:space="preserve">For reversals and adjustments, the entry being undone or changed</t>
  </si>
  <si>
    <t xml:space="preserve">Required for reversal and adjustment; must exist; not equal to transaction_id</t>
  </si>
  <si>
    <t xml:space="preserve">exchange_group_id</t>
  </si>
  <si>
    <t xml:space="preserve">Pairs the debit and credit entries of one exchange</t>
  </si>
  <si>
    <t xml:space="preserve">Required for exchange entries; exactly one debit and one credit</t>
  </si>
  <si>
    <t xml:space="preserve">balance_after</t>
  </si>
  <si>
    <t xml:space="preserve">Balance in that unit after the entry</t>
  </si>
  <si>
    <t xml:space="preserve">Not negative; equals previous balance plus or minus amount</t>
  </si>
  <si>
    <t xml:space="preserve">Direction</t>
  </si>
  <si>
    <t xml:space="preserve">Meaning</t>
  </si>
  <si>
    <t xml:space="preserve">Linked To</t>
  </si>
  <si>
    <t xml:space="preserve">reward_credit</t>
  </si>
  <si>
    <t xml:space="preserve">credit</t>
  </si>
  <si>
    <t xml:space="preserve">Reward added to the wallet</t>
  </si>
  <si>
    <t xml:space="preserve">reward_id</t>
  </si>
  <si>
    <t xml:space="preserve">redemption</t>
  </si>
  <si>
    <t xml:space="preserve">debit</t>
  </si>
  <si>
    <t xml:space="preserve">Value spent or redeemed inside VELOOP</t>
  </si>
  <si>
    <t xml:space="preserve">redemption record (to be confirmed)</t>
  </si>
  <si>
    <t xml:space="preserve">withdrawal_debit</t>
  </si>
  <si>
    <t xml:space="preserve">Amount taken from wallet for a withdrawal (timing: at request or at completion is unknown)</t>
  </si>
  <si>
    <t xml:space="preserve">withdrawal_id</t>
  </si>
  <si>
    <t xml:space="preserve">exchange_debit</t>
  </si>
  <si>
    <t xml:space="preserve">Unit given up in an exchange</t>
  </si>
  <si>
    <t xml:space="preserve">exchange_credit</t>
  </si>
  <si>
    <t xml:space="preserve">Unit received in an exchange</t>
  </si>
  <si>
    <t xml:space="preserve">reversal</t>
  </si>
  <si>
    <t xml:space="preserve">credit or debit</t>
  </si>
  <si>
    <t xml:space="preserve">Undoes an earlier entry; the original entry is never edited</t>
  </si>
  <si>
    <t xml:space="preserve">adjustment</t>
  </si>
  <si>
    <t xml:space="preserve">Manual or system correction with a reason</t>
  </si>
  <si>
    <t xml:space="preserve">related_transaction_id, reason_category</t>
  </si>
  <si>
    <t xml:space="preserve">Unique key for one withdrawal request</t>
  </si>
  <si>
    <t xml:space="preserve">Unique; immutable</t>
  </si>
  <si>
    <t xml:space="preserve">User who requested</t>
  </si>
  <si>
    <t xml:space="preserve">requested_amount</t>
  </si>
  <si>
    <t xml:space="preserve">Amount requested</t>
  </si>
  <si>
    <t xml:space="preserve">requested_unit</t>
  </si>
  <si>
    <t xml:space="preserve">Unit of the requested amount</t>
  </si>
  <si>
    <t xml:space="preserve">method</t>
  </si>
  <si>
    <t xml:space="preserve">Payout method chosen (values from real VELOOP methods only)</t>
  </si>
  <si>
    <t xml:space="preserve">requested_at</t>
  </si>
  <si>
    <t xml:space="preserve">When the request was made</t>
  </si>
  <si>
    <t xml:space="preserve">processing_at</t>
  </si>
  <si>
    <t xml:space="preserve">When review or processing began</t>
  </si>
  <si>
    <t xml:space="preserve">Not before requested_at; required if status has been processing</t>
  </si>
  <si>
    <t xml:space="preserve">final_at</t>
  </si>
  <si>
    <t xml:space="preserve">When the request reached completed, rejected or reversed</t>
  </si>
  <si>
    <t xml:space="preserve">Required for terminal statuses; not before requested_at</t>
  </si>
  <si>
    <t xml:space="preserve">Current state</t>
  </si>
  <si>
    <t xml:space="preserve">requested, processing, completed, rejected, reversed</t>
  </si>
  <si>
    <t xml:space="preserve">reason_category</t>
  </si>
  <si>
    <t xml:space="preserve">Category of reason for rejection or reversal (see reason categories)</t>
  </si>
  <si>
    <t xml:space="preserve">Required when status is rejected or reversed; no free text</t>
  </si>
  <si>
    <t xml:space="preserve">completed_amount</t>
  </si>
  <si>
    <t xml:space="preserve">Amount actually paid out</t>
  </si>
  <si>
    <t xml:space="preserve">Required when completed; not above requested_amount unless a fee rule exists (to be verified)</t>
  </si>
  <si>
    <t xml:space="preserve">wallet_transaction_id</t>
  </si>
  <si>
    <t xml:space="preserve">Wallet entry created for this withdrawal</t>
  </si>
  <si>
    <t xml:space="preserve">Must exist in Wallet; exactly one active debit per withdrawal</t>
  </si>
  <si>
    <t xml:space="preserve">reviewer_type</t>
  </si>
  <si>
    <t xml:space="preserve">automated or manual handling</t>
  </si>
  <si>
    <t xml:space="preserve">automated, manual, unknown</t>
  </si>
  <si>
    <t xml:space="preserve">payout_provider_reference_id</t>
  </si>
  <si>
    <t xml:space="preserve">Payout partner's own reference, if an external provider is used</t>
  </si>
  <si>
    <t xml:space="preserve">Unique per provider</t>
  </si>
  <si>
    <t xml:space="preserve">reversed_at</t>
  </si>
  <si>
    <t xml:space="preserve">When a completed withdrawal was reversed</t>
  </si>
  <si>
    <t xml:space="preserve">Required when status = reversed; not before final_at</t>
  </si>
  <si>
    <t xml:space="preserve">Terminal?</t>
  </si>
  <si>
    <t xml:space="preserve">Timestamp</t>
  </si>
  <si>
    <t xml:space="preserve">Event</t>
  </si>
  <si>
    <t xml:space="preserve">Status of This Design</t>
  </si>
  <si>
    <t xml:space="preserve">requested</t>
  </si>
  <si>
    <t xml:space="preserve">User has asked to withdraw</t>
  </si>
  <si>
    <t xml:space="preserve">No</t>
  </si>
  <si>
    <t xml:space="preserve">withdrawal_requested</t>
  </si>
  <si>
    <t xml:space="preserve">processing</t>
  </si>
  <si>
    <t xml:space="preserve">Under review or being paid out</t>
  </si>
  <si>
    <t xml:space="preserve">withdrawal_processing</t>
  </si>
  <si>
    <t xml:space="preserve">completed</t>
  </si>
  <si>
    <t xml:space="preserve">Payout finished</t>
  </si>
  <si>
    <t xml:space="preserve">Almost (can still be reversed)</t>
  </si>
  <si>
    <t xml:space="preserve">withdrawal_completed</t>
  </si>
  <si>
    <t xml:space="preserve">rejected</t>
  </si>
  <si>
    <t xml:space="preserve">Request refused</t>
  </si>
  <si>
    <t xml:space="preserve">withdrawal_rejected</t>
  </si>
  <si>
    <t xml:space="preserve">reversed</t>
  </si>
  <si>
    <t xml:space="preserve">A completed payout was undone or returned</t>
  </si>
  <si>
    <t xml:space="preserve">withdrawal_reversed</t>
  </si>
  <si>
    <t xml:space="preserve">cancelled (name to be agreed)</t>
  </si>
  <si>
    <t xml:space="preserve">User withdrew the request before processing, if this is allowed</t>
  </si>
  <si>
    <t xml:space="preserve">withdrawal_cancelled</t>
  </si>
  <si>
    <t xml:space="preserve">From</t>
  </si>
  <si>
    <t xml:space="preserve">To</t>
  </si>
  <si>
    <t xml:space="preserve">Allowed?</t>
  </si>
  <si>
    <t xml:space="preserve">Note</t>
  </si>
  <si>
    <t xml:space="preserve">Normal path</t>
  </si>
  <si>
    <t xml:space="preserve">Rejected before processing starts</t>
  </si>
  <si>
    <t xml:space="preserve">cancelled</t>
  </si>
  <si>
    <t xml:space="preserve">Yes, if cancellation exists</t>
  </si>
  <si>
    <t xml:space="preserve">To be verified</t>
  </si>
  <si>
    <t xml:space="preserve">Refused during review</t>
  </si>
  <si>
    <t xml:space="preserve">Original completion is kept; reversal is a later event</t>
  </si>
  <si>
    <t xml:space="preserve">Impossible transition; data quality error</t>
  </si>
  <si>
    <t xml:space="preserve">Impossible transition; use reversed instead</t>
  </si>
  <si>
    <t xml:space="preserve">A new request must be a new withdrawal_id</t>
  </si>
  <si>
    <t xml:space="preserve">Used For</t>
  </si>
  <si>
    <t xml:space="preserve">insufficient_balance</t>
  </si>
  <si>
    <t xml:space="preserve">Rejected</t>
  </si>
  <si>
    <t xml:space="preserve">Balance below requested amount at processing time</t>
  </si>
  <si>
    <t xml:space="preserve">information_incomplete</t>
  </si>
  <si>
    <t xml:space="preserve">Payout details missing or unusable</t>
  </si>
  <si>
    <t xml:space="preserve">method_unavailable</t>
  </si>
  <si>
    <t xml:space="preserve">Chosen method not available</t>
  </si>
  <si>
    <t xml:space="preserve">policy_review</t>
  </si>
  <si>
    <t xml:space="preserve">Rejected, reversed</t>
  </si>
  <si>
    <t xml:space="preserve">Held back after an internal review; category only, no internal rules recorded</t>
  </si>
  <si>
    <t xml:space="preserve">provider_failure</t>
  </si>
  <si>
    <t xml:space="preserve">External payout provider failed or returned the payment</t>
  </si>
  <si>
    <t xml:space="preserve">user_request</t>
  </si>
  <si>
    <t xml:space="preserve">Cancelled or returned at the user's request</t>
  </si>
  <si>
    <t xml:space="preserve">operational_error</t>
  </si>
  <si>
    <t xml:space="preserve">Reversed</t>
  </si>
  <si>
    <t xml:space="preserve">Processed by mistake and corrected</t>
  </si>
  <si>
    <t xml:space="preserve">other</t>
  </si>
  <si>
    <t xml:space="preserve">Any</t>
  </si>
  <si>
    <t xml:space="preserve">Use sparingly; high volume signals a poor category list</t>
  </si>
  <si>
    <t xml:space="preserve">KPI Name</t>
  </si>
  <si>
    <t xml:space="preserve">Formula</t>
  </si>
  <si>
    <t xml:space="preserve">Data Required</t>
  </si>
  <si>
    <t xml:space="preserve">Source</t>
  </si>
  <si>
    <t xml:space="preserve">Frequency</t>
  </si>
  <si>
    <t xml:space="preserve">Stakeholder</t>
  </si>
  <si>
    <t xml:space="preserve">Purpose</t>
  </si>
  <si>
    <t xml:space="preserve">Limitation</t>
  </si>
  <si>
    <t xml:space="preserve">Withdrawal Requests</t>
  </si>
  <si>
    <t xml:space="preserve">Number of withdrawal requests made in the period</t>
  </si>
  <si>
    <t xml:space="preserve">COUNT(withdrawal_id) where requested_at in period</t>
  </si>
  <si>
    <t xml:space="preserve">withdrawal_id, requested_at</t>
  </si>
  <si>
    <t xml:space="preserve">Withdrawals table / withdrawal_requested</t>
  </si>
  <si>
    <t xml:space="preserve">Daily</t>
  </si>
  <si>
    <t xml:space="preserve">Product, Operations</t>
  </si>
  <si>
    <t xml:space="preserve">Demand for withdrawal</t>
  </si>
  <si>
    <t xml:space="preserve">Counts requests, not unique users; one user may request many times</t>
  </si>
  <si>
    <t xml:space="preserve">Completed Withdrawals</t>
  </si>
  <si>
    <t xml:space="preserve">Withdrawals that reached completed in the period</t>
  </si>
  <si>
    <t xml:space="preserve">COUNT(withdrawal_id) where status = completed and final_at in period</t>
  </si>
  <si>
    <t xml:space="preserve">withdrawal_id, status, final_at</t>
  </si>
  <si>
    <t xml:space="preserve">Withdrawals table / withdrawal_completed</t>
  </si>
  <si>
    <t xml:space="preserve">Operations, Finance</t>
  </si>
  <si>
    <t xml:space="preserve">Payout output</t>
  </si>
  <si>
    <t xml:space="preserve">Excludes later reversals unless netted; period is by completion date</t>
  </si>
  <si>
    <t xml:space="preserve">Pending Withdrawals</t>
  </si>
  <si>
    <t xml:space="preserve">Requests not yet in a terminal status at the measurement time</t>
  </si>
  <si>
    <t xml:space="preserve">COUNT(withdrawal_id) where status in (requested, processing)</t>
  </si>
  <si>
    <t xml:space="preserve">withdrawal_id, status</t>
  </si>
  <si>
    <t xml:space="preserve">Withdrawals table</t>
  </si>
  <si>
    <t xml:space="preserve">Daily snapshot</t>
  </si>
  <si>
    <t xml:space="preserve">Operations</t>
  </si>
  <si>
    <t xml:space="preserve">Workload and backlog</t>
  </si>
  <si>
    <t xml:space="preserve">A point-in-time number; needs a snapshot to trend</t>
  </si>
  <si>
    <t xml:space="preserve">Rejected Withdrawals</t>
  </si>
  <si>
    <t xml:space="preserve">Requests that ended rejected in the period</t>
  </si>
  <si>
    <t xml:space="preserve">COUNT(withdrawal_id) where status = rejected and final_at in period</t>
  </si>
  <si>
    <t xml:space="preserve">withdrawal_id, status, final_at, reason_category</t>
  </si>
  <si>
    <t xml:space="preserve">Withdrawals table / withdrawal_rejected</t>
  </si>
  <si>
    <t xml:space="preserve">Operations, Product</t>
  </si>
  <si>
    <t xml:space="preserve">Friction and issues</t>
  </si>
  <si>
    <t xml:space="preserve">Reason quality depends on reason_category being filled</t>
  </si>
  <si>
    <t xml:space="preserve">Reversed Withdrawals</t>
  </si>
  <si>
    <t xml:space="preserve">Completed withdrawals that were later reversed</t>
  </si>
  <si>
    <t xml:space="preserve">COUNT(withdrawal_id) where status = reversed and reversed_at in period</t>
  </si>
  <si>
    <t xml:space="preserve">withdrawal_id, status, reversed_at, reason_category</t>
  </si>
  <si>
    <t xml:space="preserve">Withdrawals table / withdrawal_reversed</t>
  </si>
  <si>
    <t xml:space="preserve">Weekly</t>
  </si>
  <si>
    <t xml:space="preserve">Payout reliability</t>
  </si>
  <si>
    <t xml:space="preserve">Reversals may appear long after completion</t>
  </si>
  <si>
    <t xml:space="preserve">Processing Time</t>
  </si>
  <si>
    <t xml:space="preserve">Time from request to a terminal status</t>
  </si>
  <si>
    <t xml:space="preserve">Median and 90th percentile of (final_at - requested_at) for terminal withdrawals</t>
  </si>
  <si>
    <t xml:space="preserve">requested_at, final_at, status</t>
  </si>
  <si>
    <t xml:space="preserve">Speed of service</t>
  </si>
  <si>
    <t xml:space="preserve">Excludes still-pending requests, so it can look better than reality; report with pending age</t>
  </si>
  <si>
    <t xml:space="preserve">Completion Rate</t>
  </si>
  <si>
    <t xml:space="preserve">Share of requests from a period that ended completed</t>
  </si>
  <si>
    <t xml:space="preserve">COUNT(completed) / COUNT(requests) for requests made in the period, shown with a separate resolved-only version excluding pending</t>
  </si>
  <si>
    <t xml:space="preserve">withdrawal_id, requested_at, status</t>
  </si>
  <si>
    <t xml:space="preserve">Reliability of getting paid</t>
  </si>
  <si>
    <t xml:space="preserve">Recent periods look low until requests resolve; always show pending share beside it</t>
  </si>
  <si>
    <t xml:space="preserve">Pending Queue Age</t>
  </si>
  <si>
    <t xml:space="preserve">How long the oldest and typical pending requests have waited</t>
  </si>
  <si>
    <t xml:space="preserve">Median and maximum of (now - requested_at) for pending requests</t>
  </si>
  <si>
    <t xml:space="preserve">Spot stuck requests</t>
  </si>
  <si>
    <t xml:space="preserve">Needs a defined 'now' and consistent timezone</t>
  </si>
  <si>
    <t xml:space="preserve">Withdrawal Volume</t>
  </si>
  <si>
    <t xml:space="preserve">Total amount requested and completed, per unit</t>
  </si>
  <si>
    <t xml:space="preserve">SUM(requested_amount) and SUM(completed_amount) grouped by requested_unit and period</t>
  </si>
  <si>
    <t xml:space="preserve">requested_amount, completed_amount, requested_unit</t>
  </si>
  <si>
    <t xml:space="preserve">Finance, Management</t>
  </si>
  <si>
    <t xml:space="preserve">Size of payouts</t>
  </si>
  <si>
    <t xml:space="preserve">Never add different units together; conversion rule needed (A002)</t>
  </si>
  <si>
    <t xml:space="preserve">Method Distribution</t>
  </si>
  <si>
    <t xml:space="preserve">Share of requests and completions by method</t>
  </si>
  <si>
    <t xml:space="preserve">COUNT(withdrawal_id) grouped by method / total COUNT</t>
  </si>
  <si>
    <t xml:space="preserve">method, withdrawal_id, status</t>
  </si>
  <si>
    <t xml:space="preserve">Which methods users choose</t>
  </si>
  <si>
    <t xml:space="preserve">Depends on the real list of methods (A006)</t>
  </si>
  <si>
    <t xml:space="preserve">Check</t>
  </si>
  <si>
    <t xml:space="preserve">Compares</t>
  </si>
  <si>
    <t xml:space="preserve">Rule</t>
  </si>
  <si>
    <t xml:space="preserve">Why It Matters</t>
  </si>
  <si>
    <t xml:space="preserve">Priority</t>
  </si>
  <si>
    <t xml:space="preserve">Every credited reward has a wallet entry</t>
  </si>
  <si>
    <t xml:space="preserve">Rewards vs Wallet</t>
  </si>
  <si>
    <t xml:space="preserve">Each reward_credited has exactly one reward_credit transaction with the same reference_id</t>
  </si>
  <si>
    <t xml:space="preserve">Rewards not in the wallet, or wallet entries without a reward, break trust in balances</t>
  </si>
  <si>
    <t xml:space="preserve">Critical</t>
  </si>
  <si>
    <t xml:space="preserve">Wallet balance reconciles</t>
  </si>
  <si>
    <t xml:space="preserve">Wallet vs balance</t>
  </si>
  <si>
    <t xml:space="preserve">Per user and unit: sum of completed credits minus completed debits = reported balance</t>
  </si>
  <si>
    <t xml:space="preserve">Detects missing, duplicate or edited entries</t>
  </si>
  <si>
    <t xml:space="preserve">Every completed withdrawal has a debit</t>
  </si>
  <si>
    <t xml:space="preserve">Withdrawals vs Wallet</t>
  </si>
  <si>
    <t xml:space="preserve">Each completed withdrawal links to exactly one withdrawal_debit entry</t>
  </si>
  <si>
    <t xml:space="preserve">Prevents paying without deducting, or deducting twice</t>
  </si>
  <si>
    <t xml:space="preserve">Reversals point to a real original</t>
  </si>
  <si>
    <t xml:space="preserve">Wallet</t>
  </si>
  <si>
    <t xml:space="preserve">Each reversal has related_transaction_id that exists and is not itself a reversal</t>
  </si>
  <si>
    <t xml:space="preserve">Prevents orphan or chained reversals</t>
  </si>
  <si>
    <t xml:space="preserve">High</t>
  </si>
  <si>
    <t xml:space="preserve">Exchanges are paired</t>
  </si>
  <si>
    <t xml:space="preserve">Each exchange_group_id has one debit and one credit</t>
  </si>
  <si>
    <t xml:space="preserve">Prevents one-sided exchanges</t>
  </si>
  <si>
    <t xml:space="preserve">No duplicate entries</t>
  </si>
  <si>
    <t xml:space="preserve">No two entries share an idempotency_key or transaction_id</t>
  </si>
  <si>
    <t xml:space="preserve">Detects double crediting</t>
  </si>
  <si>
    <t xml:space="preserve">Withdrawal timestamps are ordered</t>
  </si>
  <si>
    <t xml:space="preserve">Withdrawals</t>
  </si>
  <si>
    <t xml:space="preserve">requested_at &lt;= processing_at &lt;= final_at</t>
  </si>
  <si>
    <t xml:space="preserve">Impossible order points to bad data</t>
  </si>
  <si>
    <t xml:space="preserve">Medium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</si>
</sst>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F8CBAD"/>
        <bgColor rgb="FFF4B6B6"/>
      </patternFill>
    </fill>
    <fill>
      <patternFill patternType="solid">
        <fgColor rgb="FFFFEB9C"/>
        <bgColor rgb="FFFFFFCC"/>
      </patternFill>
    </fill>
    <fill>
      <patternFill patternType="solid">
        <fgColor rgb="FFF4B6B6"/>
        <bgColor rgb="FFF8CBA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B9C"/>
      <rgbColor rgb="FF99CCFF"/>
      <rgbColor rgb="FFF4B6B6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0"/>
    <col collapsed="false" customWidth="true" hidden="false" outlineLevel="0" max="2" min="2" style="0" width="10"/>
  </cols>
  <sheetData>
    <row r="1" customFormat="false" ht="15" hidden="false" customHeight="false" outlineLevel="0" collapsed="false">
      <c r="A1" s="1" t="s">
        <v>0</v>
      </c>
    </row>
    <row r="2" customFormat="false" ht="23.85" hidden="false" customHeight="false" outlineLevel="0" collapsed="false">
      <c r="A2" s="2" t="s">
        <v>1</v>
      </c>
    </row>
    <row r="3" customFormat="false" ht="23.85" hidden="false" customHeight="false" outlineLevel="0" collapsed="false">
      <c r="A3" s="2" t="s">
        <v>2</v>
      </c>
    </row>
    <row r="4" customFormat="false" ht="15" hidden="false" customHeight="false" outlineLevel="0" collapsed="false">
      <c r="A4" s="2"/>
    </row>
    <row r="5" customFormat="false" ht="15" hidden="false" customHeight="false" outlineLevel="0" collapsed="false">
      <c r="A5" s="3" t="s">
        <v>3</v>
      </c>
    </row>
    <row r="6" customFormat="false" ht="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 t="s">
        <v>5</v>
      </c>
    </row>
    <row r="8" customFormat="false" ht="15" hidden="false" customHeight="false" outlineLevel="0" collapsed="false">
      <c r="A8" s="2" t="s">
        <v>6</v>
      </c>
    </row>
    <row r="9" customFormat="false" ht="15" hidden="false" customHeight="false" outlineLevel="0" collapsed="false">
      <c r="A9" s="2" t="s">
        <v>7</v>
      </c>
    </row>
    <row r="10" customFormat="false" ht="15" hidden="false" customHeight="false" outlineLevel="0" collapsed="false">
      <c r="A10" s="2" t="s">
        <v>8</v>
      </c>
    </row>
    <row r="11" customFormat="false" ht="15" hidden="false" customHeight="false" outlineLevel="0" collapsed="false">
      <c r="A11" s="2" t="s">
        <v>9</v>
      </c>
    </row>
    <row r="12" customFormat="false" ht="15" hidden="false" customHeight="false" outlineLevel="0" collapsed="false">
      <c r="A12" s="2" t="s">
        <v>10</v>
      </c>
    </row>
    <row r="14" customFormat="false" ht="15" hidden="false" customHeight="false" outlineLevel="0" collapsed="false">
      <c r="A14" s="4" t="s">
        <v>11</v>
      </c>
    </row>
    <row r="15" customFormat="false" ht="15" hidden="false" customHeight="false" outlineLevel="0" collapsed="false">
      <c r="A15" s="5" t="s">
        <v>12</v>
      </c>
      <c r="B15" s="5" t="n">
        <f aca="false">COUNTA(D1_Wallet_Fields!A:A)-1</f>
        <v>15</v>
      </c>
    </row>
    <row r="16" customFormat="false" ht="15" hidden="false" customHeight="false" outlineLevel="0" collapsed="false">
      <c r="A16" s="5" t="s">
        <v>13</v>
      </c>
      <c r="B16" s="5" t="n">
        <f aca="false">COUNTA(D2_Withdrawal_Fields!A:A)-1</f>
        <v>15</v>
      </c>
    </row>
    <row r="17" customFormat="false" ht="15" hidden="false" customHeight="false" outlineLevel="0" collapsed="false">
      <c r="A17" s="5" t="s">
        <v>14</v>
      </c>
      <c r="B17" s="5" t="n">
        <f aca="false">COUNTA(D3_Withdrawal_KPIs!A:A)-1</f>
        <v>10</v>
      </c>
    </row>
    <row r="18" customFormat="false" ht="15" hidden="false" customHeight="false" outlineLevel="0" collapsed="false">
      <c r="A18" s="5" t="s">
        <v>15</v>
      </c>
      <c r="B18" s="5" t="n">
        <f aca="false">COUNTA(Reconciliation_Checks!A:A)-1</f>
        <v>7</v>
      </c>
    </row>
    <row r="19" customFormat="false" ht="15" hidden="false" customHeight="false" outlineLevel="0" collapsed="false">
      <c r="A19" s="5" t="s">
        <v>16</v>
      </c>
      <c r="B19" s="5" t="n">
        <f aca="false">COUNTIF(Reconciliation_Checks!E:E,"Critical")</f>
        <v>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6"/>
    <col collapsed="false" customWidth="true" hidden="false" outlineLevel="0" max="3" min="3" style="0" width="12"/>
    <col collapsed="false" customWidth="true" hidden="false" outlineLevel="0" max="4" min="4" style="0" width="56"/>
    <col collapsed="false" customWidth="true" hidden="false" outlineLevel="0" max="5" min="5" style="0" width="48"/>
    <col collapsed="false" customWidth="true" hidden="false" outlineLevel="0" max="6" min="6" style="0" width="15"/>
  </cols>
  <sheetData>
    <row r="1" customFormat="false" ht="15" hidden="false" customHeight="false" outlineLevel="0" collapsed="false">
      <c r="A1" s="6" t="s">
        <v>17</v>
      </c>
      <c r="B1" s="6" t="s">
        <v>18</v>
      </c>
      <c r="C1" s="6" t="s">
        <v>19</v>
      </c>
      <c r="D1" s="6" t="s">
        <v>20</v>
      </c>
      <c r="E1" s="6" t="s">
        <v>21</v>
      </c>
      <c r="F1" s="6" t="s">
        <v>22</v>
      </c>
    </row>
    <row r="2" customFormat="false" ht="15" hidden="false" customHeight="false" outlineLevel="0" collapsed="false">
      <c r="A2" s="7" t="s">
        <v>23</v>
      </c>
      <c r="B2" s="7" t="s">
        <v>24</v>
      </c>
      <c r="C2" s="7" t="s">
        <v>25</v>
      </c>
      <c r="D2" s="7" t="s">
        <v>26</v>
      </c>
      <c r="E2" s="7" t="s">
        <v>27</v>
      </c>
      <c r="F2" s="8" t="s">
        <v>28</v>
      </c>
    </row>
    <row r="3" customFormat="false" ht="15" hidden="false" customHeight="false" outlineLevel="0" collapsed="false">
      <c r="A3" s="7" t="s">
        <v>29</v>
      </c>
      <c r="B3" s="7" t="s">
        <v>24</v>
      </c>
      <c r="C3" s="7" t="s">
        <v>30</v>
      </c>
      <c r="D3" s="7" t="s">
        <v>31</v>
      </c>
      <c r="E3" s="7" t="s">
        <v>32</v>
      </c>
      <c r="F3" s="9" t="s">
        <v>33</v>
      </c>
    </row>
    <row r="4" customFormat="false" ht="15" hidden="false" customHeight="false" outlineLevel="0" collapsed="false">
      <c r="A4" s="7" t="s">
        <v>34</v>
      </c>
      <c r="B4" s="7" t="s">
        <v>24</v>
      </c>
      <c r="C4" s="7" t="s">
        <v>25</v>
      </c>
      <c r="D4" s="7" t="s">
        <v>35</v>
      </c>
      <c r="E4" s="7" t="s">
        <v>36</v>
      </c>
      <c r="F4" s="8" t="s">
        <v>28</v>
      </c>
    </row>
    <row r="5" customFormat="false" ht="15" hidden="false" customHeight="false" outlineLevel="0" collapsed="false">
      <c r="A5" s="7" t="s">
        <v>37</v>
      </c>
      <c r="B5" s="7" t="s">
        <v>38</v>
      </c>
      <c r="C5" s="7" t="s">
        <v>25</v>
      </c>
      <c r="D5" s="7" t="s">
        <v>39</v>
      </c>
      <c r="E5" s="7" t="s">
        <v>40</v>
      </c>
      <c r="F5" s="9" t="s">
        <v>33</v>
      </c>
    </row>
    <row r="6" customFormat="false" ht="15" hidden="false" customHeight="false" outlineLevel="0" collapsed="false">
      <c r="A6" s="7" t="s">
        <v>41</v>
      </c>
      <c r="B6" s="7" t="s">
        <v>38</v>
      </c>
      <c r="C6" s="7" t="s">
        <v>42</v>
      </c>
      <c r="D6" s="7" t="s">
        <v>43</v>
      </c>
      <c r="E6" s="7" t="s">
        <v>44</v>
      </c>
      <c r="F6" s="9" t="s">
        <v>33</v>
      </c>
    </row>
    <row r="7" customFormat="false" ht="15" hidden="false" customHeight="false" outlineLevel="0" collapsed="false">
      <c r="A7" s="7" t="s">
        <v>45</v>
      </c>
      <c r="B7" s="7" t="s">
        <v>46</v>
      </c>
      <c r="C7" s="7" t="s">
        <v>25</v>
      </c>
      <c r="D7" s="7" t="s">
        <v>47</v>
      </c>
      <c r="E7" s="7" t="s">
        <v>48</v>
      </c>
      <c r="F7" s="9" t="s">
        <v>33</v>
      </c>
    </row>
    <row r="8" customFormat="false" ht="15" hidden="false" customHeight="false" outlineLevel="0" collapsed="false">
      <c r="A8" s="7" t="s">
        <v>49</v>
      </c>
      <c r="B8" s="7" t="s">
        <v>46</v>
      </c>
      <c r="C8" s="7" t="s">
        <v>25</v>
      </c>
      <c r="D8" s="7" t="s">
        <v>50</v>
      </c>
      <c r="E8" s="7" t="s">
        <v>51</v>
      </c>
      <c r="F8" s="9" t="s">
        <v>33</v>
      </c>
    </row>
    <row r="9" customFormat="false" ht="23.85" hidden="false" customHeight="false" outlineLevel="0" collapsed="false">
      <c r="A9" s="7" t="s">
        <v>52</v>
      </c>
      <c r="B9" s="7" t="s">
        <v>53</v>
      </c>
      <c r="C9" s="7" t="s">
        <v>25</v>
      </c>
      <c r="D9" s="7" t="s">
        <v>54</v>
      </c>
      <c r="E9" s="7" t="s">
        <v>55</v>
      </c>
      <c r="F9" s="9" t="s">
        <v>33</v>
      </c>
    </row>
    <row r="10" customFormat="false" ht="15" hidden="false" customHeight="false" outlineLevel="0" collapsed="false">
      <c r="A10" s="7" t="s">
        <v>56</v>
      </c>
      <c r="B10" s="7" t="s">
        <v>46</v>
      </c>
      <c r="C10" s="7" t="s">
        <v>25</v>
      </c>
      <c r="D10" s="7" t="s">
        <v>57</v>
      </c>
      <c r="E10" s="7" t="s">
        <v>58</v>
      </c>
      <c r="F10" s="8" t="s">
        <v>28</v>
      </c>
    </row>
    <row r="11" customFormat="false" ht="15" hidden="false" customHeight="false" outlineLevel="0" collapsed="false">
      <c r="A11" s="7" t="s">
        <v>59</v>
      </c>
      <c r="B11" s="7" t="s">
        <v>46</v>
      </c>
      <c r="C11" s="7" t="s">
        <v>25</v>
      </c>
      <c r="D11" s="7" t="s">
        <v>60</v>
      </c>
      <c r="E11" s="7" t="s">
        <v>61</v>
      </c>
      <c r="F11" s="9" t="s">
        <v>33</v>
      </c>
    </row>
    <row r="12" customFormat="false" ht="23.85" hidden="false" customHeight="false" outlineLevel="0" collapsed="false">
      <c r="A12" s="7" t="s">
        <v>62</v>
      </c>
      <c r="B12" s="7" t="s">
        <v>46</v>
      </c>
      <c r="C12" s="7" t="s">
        <v>25</v>
      </c>
      <c r="D12" s="7" t="s">
        <v>63</v>
      </c>
      <c r="E12" s="7" t="s">
        <v>64</v>
      </c>
      <c r="F12" s="9" t="s">
        <v>33</v>
      </c>
    </row>
    <row r="13" customFormat="false" ht="23.85" hidden="false" customHeight="false" outlineLevel="0" collapsed="false">
      <c r="A13" s="7" t="s">
        <v>65</v>
      </c>
      <c r="B13" s="7" t="s">
        <v>24</v>
      </c>
      <c r="C13" s="7" t="s">
        <v>25</v>
      </c>
      <c r="D13" s="7" t="s">
        <v>66</v>
      </c>
      <c r="E13" s="7" t="s">
        <v>67</v>
      </c>
      <c r="F13" s="9" t="s">
        <v>33</v>
      </c>
    </row>
    <row r="14" customFormat="false" ht="23.85" hidden="false" customHeight="false" outlineLevel="0" collapsed="false">
      <c r="A14" s="7" t="s">
        <v>68</v>
      </c>
      <c r="B14" s="7" t="s">
        <v>24</v>
      </c>
      <c r="C14" s="7" t="s">
        <v>42</v>
      </c>
      <c r="D14" s="7" t="s">
        <v>69</v>
      </c>
      <c r="E14" s="7" t="s">
        <v>70</v>
      </c>
      <c r="F14" s="9" t="s">
        <v>33</v>
      </c>
    </row>
    <row r="15" customFormat="false" ht="23.85" hidden="false" customHeight="false" outlineLevel="0" collapsed="false">
      <c r="A15" s="7" t="s">
        <v>71</v>
      </c>
      <c r="B15" s="7" t="s">
        <v>24</v>
      </c>
      <c r="C15" s="7" t="s">
        <v>42</v>
      </c>
      <c r="D15" s="7" t="s">
        <v>72</v>
      </c>
      <c r="E15" s="7" t="s">
        <v>73</v>
      </c>
      <c r="F15" s="9" t="s">
        <v>33</v>
      </c>
    </row>
    <row r="16" customFormat="false" ht="23.85" hidden="false" customHeight="false" outlineLevel="0" collapsed="false">
      <c r="A16" s="7" t="s">
        <v>74</v>
      </c>
      <c r="B16" s="7" t="s">
        <v>53</v>
      </c>
      <c r="C16" s="7" t="s">
        <v>30</v>
      </c>
      <c r="D16" s="7" t="s">
        <v>75</v>
      </c>
      <c r="E16" s="7" t="s">
        <v>76</v>
      </c>
      <c r="F16" s="8" t="s">
        <v>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6"/>
    <col collapsed="false" customWidth="true" hidden="false" outlineLevel="0" max="3" min="3" style="0" width="56"/>
    <col collapsed="false" customWidth="true" hidden="false" outlineLevel="0" max="4" min="4" style="0" width="36"/>
    <col collapsed="false" customWidth="true" hidden="false" outlineLevel="0" max="5" min="5" style="0" width="15"/>
  </cols>
  <sheetData>
    <row r="1" customFormat="false" ht="15" hidden="false" customHeight="false" outlineLevel="0" collapsed="false">
      <c r="A1" s="6" t="s">
        <v>45</v>
      </c>
      <c r="B1" s="6" t="s">
        <v>77</v>
      </c>
      <c r="C1" s="6" t="s">
        <v>78</v>
      </c>
      <c r="D1" s="6" t="s">
        <v>79</v>
      </c>
      <c r="E1" s="6" t="s">
        <v>22</v>
      </c>
    </row>
    <row r="2" customFormat="false" ht="15" hidden="false" customHeight="false" outlineLevel="0" collapsed="false">
      <c r="A2" s="7" t="s">
        <v>80</v>
      </c>
      <c r="B2" s="7" t="s">
        <v>81</v>
      </c>
      <c r="C2" s="7" t="s">
        <v>82</v>
      </c>
      <c r="D2" s="7" t="s">
        <v>83</v>
      </c>
      <c r="E2" s="9" t="s">
        <v>33</v>
      </c>
    </row>
    <row r="3" customFormat="false" ht="15" hidden="false" customHeight="false" outlineLevel="0" collapsed="false">
      <c r="A3" s="7" t="s">
        <v>84</v>
      </c>
      <c r="B3" s="7" t="s">
        <v>85</v>
      </c>
      <c r="C3" s="7" t="s">
        <v>86</v>
      </c>
      <c r="D3" s="7" t="s">
        <v>87</v>
      </c>
      <c r="E3" s="8" t="s">
        <v>28</v>
      </c>
    </row>
    <row r="4" customFormat="false" ht="23.85" hidden="false" customHeight="false" outlineLevel="0" collapsed="false">
      <c r="A4" s="7" t="s">
        <v>88</v>
      </c>
      <c r="B4" s="7" t="s">
        <v>85</v>
      </c>
      <c r="C4" s="7" t="s">
        <v>89</v>
      </c>
      <c r="D4" s="7" t="s">
        <v>90</v>
      </c>
      <c r="E4" s="8" t="s">
        <v>28</v>
      </c>
    </row>
    <row r="5" customFormat="false" ht="15" hidden="false" customHeight="false" outlineLevel="0" collapsed="false">
      <c r="A5" s="7" t="s">
        <v>91</v>
      </c>
      <c r="B5" s="7" t="s">
        <v>85</v>
      </c>
      <c r="C5" s="7" t="s">
        <v>92</v>
      </c>
      <c r="D5" s="7" t="s">
        <v>71</v>
      </c>
      <c r="E5" s="8" t="s">
        <v>28</v>
      </c>
    </row>
    <row r="6" customFormat="false" ht="15" hidden="false" customHeight="false" outlineLevel="0" collapsed="false">
      <c r="A6" s="7" t="s">
        <v>93</v>
      </c>
      <c r="B6" s="7" t="s">
        <v>81</v>
      </c>
      <c r="C6" s="7" t="s">
        <v>94</v>
      </c>
      <c r="D6" s="7" t="s">
        <v>71</v>
      </c>
      <c r="E6" s="8" t="s">
        <v>28</v>
      </c>
    </row>
    <row r="7" customFormat="false" ht="15" hidden="false" customHeight="false" outlineLevel="0" collapsed="false">
      <c r="A7" s="7" t="s">
        <v>95</v>
      </c>
      <c r="B7" s="7" t="s">
        <v>96</v>
      </c>
      <c r="C7" s="7" t="s">
        <v>97</v>
      </c>
      <c r="D7" s="7" t="s">
        <v>68</v>
      </c>
      <c r="E7" s="9" t="s">
        <v>33</v>
      </c>
    </row>
    <row r="8" customFormat="false" ht="15" hidden="false" customHeight="false" outlineLevel="0" collapsed="false">
      <c r="A8" s="7" t="s">
        <v>98</v>
      </c>
      <c r="B8" s="7" t="s">
        <v>96</v>
      </c>
      <c r="C8" s="7" t="s">
        <v>99</v>
      </c>
      <c r="D8" s="7" t="s">
        <v>100</v>
      </c>
      <c r="E8" s="9" t="s">
        <v>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6"/>
    <col collapsed="false" customWidth="true" hidden="false" outlineLevel="0" max="3" min="3" style="0" width="12"/>
    <col collapsed="false" customWidth="true" hidden="false" outlineLevel="0" max="4" min="4" style="0" width="50"/>
    <col collapsed="false" customWidth="true" hidden="false" outlineLevel="0" max="5" min="5" style="0" width="52"/>
    <col collapsed="false" customWidth="true" hidden="false" outlineLevel="0" max="6" min="6" style="0" width="15"/>
  </cols>
  <sheetData>
    <row r="1" customFormat="false" ht="15" hidden="false" customHeight="false" outlineLevel="0" collapsed="false">
      <c r="A1" s="6" t="s">
        <v>17</v>
      </c>
      <c r="B1" s="6" t="s">
        <v>18</v>
      </c>
      <c r="C1" s="6" t="s">
        <v>19</v>
      </c>
      <c r="D1" s="6" t="s">
        <v>20</v>
      </c>
      <c r="E1" s="6" t="s">
        <v>21</v>
      </c>
      <c r="F1" s="6" t="s">
        <v>22</v>
      </c>
    </row>
    <row r="2" customFormat="false" ht="15" hidden="false" customHeight="false" outlineLevel="0" collapsed="false">
      <c r="A2" s="7" t="s">
        <v>90</v>
      </c>
      <c r="B2" s="7" t="s">
        <v>24</v>
      </c>
      <c r="C2" s="7" t="s">
        <v>25</v>
      </c>
      <c r="D2" s="7" t="s">
        <v>101</v>
      </c>
      <c r="E2" s="7" t="s">
        <v>102</v>
      </c>
      <c r="F2" s="8" t="s">
        <v>28</v>
      </c>
    </row>
    <row r="3" customFormat="false" ht="15" hidden="false" customHeight="false" outlineLevel="0" collapsed="false">
      <c r="A3" s="7" t="s">
        <v>34</v>
      </c>
      <c r="B3" s="7" t="s">
        <v>24</v>
      </c>
      <c r="C3" s="7" t="s">
        <v>25</v>
      </c>
      <c r="D3" s="7" t="s">
        <v>103</v>
      </c>
      <c r="E3" s="7" t="s">
        <v>36</v>
      </c>
      <c r="F3" s="8" t="s">
        <v>28</v>
      </c>
    </row>
    <row r="4" customFormat="false" ht="15" hidden="false" customHeight="false" outlineLevel="0" collapsed="false">
      <c r="A4" s="7" t="s">
        <v>104</v>
      </c>
      <c r="B4" s="7" t="s">
        <v>53</v>
      </c>
      <c r="C4" s="7" t="s">
        <v>25</v>
      </c>
      <c r="D4" s="7" t="s">
        <v>105</v>
      </c>
      <c r="E4" s="7" t="s">
        <v>55</v>
      </c>
      <c r="F4" s="8" t="s">
        <v>28</v>
      </c>
    </row>
    <row r="5" customFormat="false" ht="15" hidden="false" customHeight="false" outlineLevel="0" collapsed="false">
      <c r="A5" s="7" t="s">
        <v>106</v>
      </c>
      <c r="B5" s="7" t="s">
        <v>46</v>
      </c>
      <c r="C5" s="7" t="s">
        <v>25</v>
      </c>
      <c r="D5" s="7" t="s">
        <v>107</v>
      </c>
      <c r="E5" s="7" t="s">
        <v>64</v>
      </c>
      <c r="F5" s="8" t="s">
        <v>28</v>
      </c>
    </row>
    <row r="6" customFormat="false" ht="23.85" hidden="false" customHeight="false" outlineLevel="0" collapsed="false">
      <c r="A6" s="7" t="s">
        <v>108</v>
      </c>
      <c r="B6" s="7" t="s">
        <v>46</v>
      </c>
      <c r="C6" s="7" t="s">
        <v>25</v>
      </c>
      <c r="D6" s="7" t="s">
        <v>109</v>
      </c>
      <c r="E6" s="7" t="s">
        <v>64</v>
      </c>
      <c r="F6" s="8" t="s">
        <v>28</v>
      </c>
    </row>
    <row r="7" customFormat="false" ht="15" hidden="false" customHeight="false" outlineLevel="0" collapsed="false">
      <c r="A7" s="7" t="s">
        <v>110</v>
      </c>
      <c r="B7" s="7" t="s">
        <v>38</v>
      </c>
      <c r="C7" s="7" t="s">
        <v>25</v>
      </c>
      <c r="D7" s="7" t="s">
        <v>111</v>
      </c>
      <c r="E7" s="7" t="s">
        <v>40</v>
      </c>
      <c r="F7" s="9" t="s">
        <v>33</v>
      </c>
    </row>
    <row r="8" customFormat="false" ht="15" hidden="false" customHeight="false" outlineLevel="0" collapsed="false">
      <c r="A8" s="7" t="s">
        <v>112</v>
      </c>
      <c r="B8" s="7" t="s">
        <v>38</v>
      </c>
      <c r="C8" s="7" t="s">
        <v>42</v>
      </c>
      <c r="D8" s="7" t="s">
        <v>113</v>
      </c>
      <c r="E8" s="7" t="s">
        <v>114</v>
      </c>
      <c r="F8" s="9" t="s">
        <v>33</v>
      </c>
    </row>
    <row r="9" customFormat="false" ht="15" hidden="false" customHeight="false" outlineLevel="0" collapsed="false">
      <c r="A9" s="7" t="s">
        <v>115</v>
      </c>
      <c r="B9" s="7" t="s">
        <v>38</v>
      </c>
      <c r="C9" s="7" t="s">
        <v>42</v>
      </c>
      <c r="D9" s="7" t="s">
        <v>116</v>
      </c>
      <c r="E9" s="7" t="s">
        <v>117</v>
      </c>
      <c r="F9" s="9" t="s">
        <v>33</v>
      </c>
    </row>
    <row r="10" customFormat="false" ht="15" hidden="false" customHeight="false" outlineLevel="0" collapsed="false">
      <c r="A10" s="7" t="s">
        <v>59</v>
      </c>
      <c r="B10" s="7" t="s">
        <v>46</v>
      </c>
      <c r="C10" s="7" t="s">
        <v>25</v>
      </c>
      <c r="D10" s="7" t="s">
        <v>118</v>
      </c>
      <c r="E10" s="7" t="s">
        <v>119</v>
      </c>
      <c r="F10" s="9" t="s">
        <v>33</v>
      </c>
    </row>
    <row r="11" customFormat="false" ht="23.85" hidden="false" customHeight="false" outlineLevel="0" collapsed="false">
      <c r="A11" s="7" t="s">
        <v>120</v>
      </c>
      <c r="B11" s="7" t="s">
        <v>46</v>
      </c>
      <c r="C11" s="7" t="s">
        <v>42</v>
      </c>
      <c r="D11" s="7" t="s">
        <v>121</v>
      </c>
      <c r="E11" s="7" t="s">
        <v>122</v>
      </c>
      <c r="F11" s="9" t="s">
        <v>33</v>
      </c>
    </row>
    <row r="12" customFormat="false" ht="23.85" hidden="false" customHeight="false" outlineLevel="0" collapsed="false">
      <c r="A12" s="7" t="s">
        <v>123</v>
      </c>
      <c r="B12" s="7" t="s">
        <v>53</v>
      </c>
      <c r="C12" s="7" t="s">
        <v>42</v>
      </c>
      <c r="D12" s="7" t="s">
        <v>124</v>
      </c>
      <c r="E12" s="7" t="s">
        <v>125</v>
      </c>
      <c r="F12" s="8" t="s">
        <v>28</v>
      </c>
    </row>
    <row r="13" customFormat="false" ht="15" hidden="false" customHeight="false" outlineLevel="0" collapsed="false">
      <c r="A13" s="7" t="s">
        <v>126</v>
      </c>
      <c r="B13" s="7" t="s">
        <v>24</v>
      </c>
      <c r="C13" s="7" t="s">
        <v>42</v>
      </c>
      <c r="D13" s="7" t="s">
        <v>127</v>
      </c>
      <c r="E13" s="7" t="s">
        <v>128</v>
      </c>
      <c r="F13" s="9" t="s">
        <v>33</v>
      </c>
    </row>
    <row r="14" customFormat="false" ht="15" hidden="false" customHeight="false" outlineLevel="0" collapsed="false">
      <c r="A14" s="7" t="s">
        <v>129</v>
      </c>
      <c r="B14" s="7" t="s">
        <v>46</v>
      </c>
      <c r="C14" s="7" t="s">
        <v>30</v>
      </c>
      <c r="D14" s="7" t="s">
        <v>130</v>
      </c>
      <c r="E14" s="7" t="s">
        <v>131</v>
      </c>
      <c r="F14" s="8" t="s">
        <v>28</v>
      </c>
    </row>
    <row r="15" customFormat="false" ht="23.85" hidden="false" customHeight="false" outlineLevel="0" collapsed="false">
      <c r="A15" s="7" t="s">
        <v>132</v>
      </c>
      <c r="B15" s="7" t="s">
        <v>24</v>
      </c>
      <c r="C15" s="7" t="s">
        <v>30</v>
      </c>
      <c r="D15" s="7" t="s">
        <v>133</v>
      </c>
      <c r="E15" s="7" t="s">
        <v>134</v>
      </c>
      <c r="F15" s="8" t="s">
        <v>28</v>
      </c>
    </row>
    <row r="16" customFormat="false" ht="15" hidden="false" customHeight="false" outlineLevel="0" collapsed="false">
      <c r="A16" s="7" t="s">
        <v>135</v>
      </c>
      <c r="B16" s="7" t="s">
        <v>38</v>
      </c>
      <c r="C16" s="7" t="s">
        <v>42</v>
      </c>
      <c r="D16" s="7" t="s">
        <v>136</v>
      </c>
      <c r="E16" s="7" t="s">
        <v>137</v>
      </c>
      <c r="F16" s="9" t="s">
        <v>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44"/>
    <col collapsed="false" customWidth="true" hidden="false" outlineLevel="0" max="3" min="3" style="0" width="24"/>
    <col collapsed="false" customWidth="true" hidden="false" outlineLevel="0" max="4" min="4" style="0" width="16"/>
    <col collapsed="false" customWidth="true" hidden="false" outlineLevel="0" max="5" min="5" style="0" width="24"/>
    <col collapsed="false" customWidth="true" hidden="false" outlineLevel="0" max="6" min="6" style="0" width="20"/>
  </cols>
  <sheetData>
    <row r="1" customFormat="false" ht="15" hidden="false" customHeight="false" outlineLevel="0" collapsed="false">
      <c r="A1" s="6" t="s">
        <v>22</v>
      </c>
      <c r="B1" s="6" t="s">
        <v>78</v>
      </c>
      <c r="C1" s="6" t="s">
        <v>138</v>
      </c>
      <c r="D1" s="6" t="s">
        <v>139</v>
      </c>
      <c r="E1" s="6" t="s">
        <v>140</v>
      </c>
      <c r="F1" s="6" t="s">
        <v>141</v>
      </c>
    </row>
    <row r="2" customFormat="false" ht="15" hidden="false" customHeight="false" outlineLevel="0" collapsed="false">
      <c r="A2" s="7" t="s">
        <v>142</v>
      </c>
      <c r="B2" s="7" t="s">
        <v>143</v>
      </c>
      <c r="C2" s="7" t="s">
        <v>144</v>
      </c>
      <c r="D2" s="7" t="s">
        <v>110</v>
      </c>
      <c r="E2" s="7" t="s">
        <v>145</v>
      </c>
      <c r="F2" s="9" t="s">
        <v>33</v>
      </c>
    </row>
    <row r="3" customFormat="false" ht="15" hidden="false" customHeight="false" outlineLevel="0" collapsed="false">
      <c r="A3" s="7" t="s">
        <v>146</v>
      </c>
      <c r="B3" s="7" t="s">
        <v>147</v>
      </c>
      <c r="C3" s="7" t="s">
        <v>144</v>
      </c>
      <c r="D3" s="7" t="s">
        <v>112</v>
      </c>
      <c r="E3" s="7" t="s">
        <v>148</v>
      </c>
      <c r="F3" s="9" t="s">
        <v>33</v>
      </c>
    </row>
    <row r="4" customFormat="false" ht="15" hidden="false" customHeight="false" outlineLevel="0" collapsed="false">
      <c r="A4" s="7" t="s">
        <v>149</v>
      </c>
      <c r="B4" s="7" t="s">
        <v>150</v>
      </c>
      <c r="C4" s="7" t="s">
        <v>151</v>
      </c>
      <c r="D4" s="7" t="s">
        <v>115</v>
      </c>
      <c r="E4" s="7" t="s">
        <v>152</v>
      </c>
      <c r="F4" s="9" t="s">
        <v>33</v>
      </c>
    </row>
    <row r="5" customFormat="false" ht="15" hidden="false" customHeight="false" outlineLevel="0" collapsed="false">
      <c r="A5" s="7" t="s">
        <v>153</v>
      </c>
      <c r="B5" s="7" t="s">
        <v>154</v>
      </c>
      <c r="C5" s="7" t="s">
        <v>25</v>
      </c>
      <c r="D5" s="7" t="s">
        <v>115</v>
      </c>
      <c r="E5" s="7" t="s">
        <v>155</v>
      </c>
      <c r="F5" s="9" t="s">
        <v>33</v>
      </c>
    </row>
    <row r="6" customFormat="false" ht="15" hidden="false" customHeight="false" outlineLevel="0" collapsed="false">
      <c r="A6" s="7" t="s">
        <v>156</v>
      </c>
      <c r="B6" s="7" t="s">
        <v>157</v>
      </c>
      <c r="C6" s="7" t="s">
        <v>25</v>
      </c>
      <c r="D6" s="7" t="s">
        <v>135</v>
      </c>
      <c r="E6" s="7" t="s">
        <v>158</v>
      </c>
      <c r="F6" s="9" t="s">
        <v>33</v>
      </c>
    </row>
    <row r="7" customFormat="false" ht="23.85" hidden="false" customHeight="false" outlineLevel="0" collapsed="false">
      <c r="A7" s="7" t="s">
        <v>159</v>
      </c>
      <c r="B7" s="7" t="s">
        <v>160</v>
      </c>
      <c r="C7" s="7" t="s">
        <v>25</v>
      </c>
      <c r="D7" s="7" t="s">
        <v>115</v>
      </c>
      <c r="E7" s="7" t="s">
        <v>161</v>
      </c>
      <c r="F7" s="8" t="s">
        <v>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4"/>
    <col collapsed="false" customWidth="true" hidden="false" outlineLevel="0" max="3" min="3" style="0" width="26"/>
    <col collapsed="false" customWidth="true" hidden="false" outlineLevel="0" max="4" min="4" style="0" width="56"/>
  </cols>
  <sheetData>
    <row r="1" customFormat="false" ht="15" hidden="false" customHeight="false" outlineLevel="0" collapsed="false">
      <c r="A1" s="6" t="s">
        <v>162</v>
      </c>
      <c r="B1" s="6" t="s">
        <v>163</v>
      </c>
      <c r="C1" s="6" t="s">
        <v>164</v>
      </c>
      <c r="D1" s="6" t="s">
        <v>165</v>
      </c>
    </row>
    <row r="2" customFormat="false" ht="15" hidden="false" customHeight="false" outlineLevel="0" collapsed="false">
      <c r="A2" s="7" t="s">
        <v>142</v>
      </c>
      <c r="B2" s="7" t="s">
        <v>146</v>
      </c>
      <c r="C2" s="7" t="s">
        <v>25</v>
      </c>
      <c r="D2" s="7" t="s">
        <v>166</v>
      </c>
    </row>
    <row r="3" customFormat="false" ht="15" hidden="false" customHeight="false" outlineLevel="0" collapsed="false">
      <c r="A3" s="7" t="s">
        <v>142</v>
      </c>
      <c r="B3" s="7" t="s">
        <v>153</v>
      </c>
      <c r="C3" s="7" t="s">
        <v>25</v>
      </c>
      <c r="D3" s="7" t="s">
        <v>167</v>
      </c>
    </row>
    <row r="4" customFormat="false" ht="15" hidden="false" customHeight="false" outlineLevel="0" collapsed="false">
      <c r="A4" s="7" t="s">
        <v>142</v>
      </c>
      <c r="B4" s="7" t="s">
        <v>168</v>
      </c>
      <c r="C4" s="7" t="s">
        <v>169</v>
      </c>
      <c r="D4" s="7" t="s">
        <v>170</v>
      </c>
    </row>
    <row r="5" customFormat="false" ht="15" hidden="false" customHeight="false" outlineLevel="0" collapsed="false">
      <c r="A5" s="7" t="s">
        <v>146</v>
      </c>
      <c r="B5" s="7" t="s">
        <v>149</v>
      </c>
      <c r="C5" s="7" t="s">
        <v>25</v>
      </c>
      <c r="D5" s="7" t="s">
        <v>166</v>
      </c>
    </row>
    <row r="6" customFormat="false" ht="15" hidden="false" customHeight="false" outlineLevel="0" collapsed="false">
      <c r="A6" s="7" t="s">
        <v>146</v>
      </c>
      <c r="B6" s="7" t="s">
        <v>153</v>
      </c>
      <c r="C6" s="7" t="s">
        <v>25</v>
      </c>
      <c r="D6" s="7" t="s">
        <v>171</v>
      </c>
    </row>
    <row r="7" customFormat="false" ht="15" hidden="false" customHeight="false" outlineLevel="0" collapsed="false">
      <c r="A7" s="7" t="s">
        <v>149</v>
      </c>
      <c r="B7" s="7" t="s">
        <v>156</v>
      </c>
      <c r="C7" s="7" t="s">
        <v>25</v>
      </c>
      <c r="D7" s="7" t="s">
        <v>172</v>
      </c>
    </row>
    <row r="8" customFormat="false" ht="15" hidden="false" customHeight="false" outlineLevel="0" collapsed="false">
      <c r="A8" s="7" t="s">
        <v>149</v>
      </c>
      <c r="B8" s="7" t="s">
        <v>146</v>
      </c>
      <c r="C8" s="7" t="s">
        <v>144</v>
      </c>
      <c r="D8" s="7" t="s">
        <v>173</v>
      </c>
    </row>
    <row r="9" customFormat="false" ht="15" hidden="false" customHeight="false" outlineLevel="0" collapsed="false">
      <c r="A9" s="7" t="s">
        <v>149</v>
      </c>
      <c r="B9" s="7" t="s">
        <v>153</v>
      </c>
      <c r="C9" s="7" t="s">
        <v>144</v>
      </c>
      <c r="D9" s="7" t="s">
        <v>174</v>
      </c>
    </row>
    <row r="10" customFormat="false" ht="15" hidden="false" customHeight="false" outlineLevel="0" collapsed="false">
      <c r="A10" s="7" t="s">
        <v>153</v>
      </c>
      <c r="B10" s="7" t="s">
        <v>149</v>
      </c>
      <c r="C10" s="7" t="s">
        <v>144</v>
      </c>
      <c r="D10" s="7" t="s">
        <v>175</v>
      </c>
    </row>
    <row r="11" customFormat="false" ht="15" hidden="false" customHeight="false" outlineLevel="0" collapsed="false">
      <c r="A11" s="7" t="s">
        <v>156</v>
      </c>
      <c r="B11" s="7" t="s">
        <v>149</v>
      </c>
      <c r="C11" s="7" t="s">
        <v>144</v>
      </c>
      <c r="D11" s="7" t="s">
        <v>173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20"/>
    <col collapsed="false" customWidth="true" hidden="false" outlineLevel="0" max="3" min="3" style="0" width="60"/>
    <col collapsed="false" customWidth="true" hidden="false" outlineLevel="0" max="4" min="4" style="0" width="15"/>
  </cols>
  <sheetData>
    <row r="1" customFormat="false" ht="15" hidden="false" customHeight="false" outlineLevel="0" collapsed="false">
      <c r="A1" s="6" t="s">
        <v>120</v>
      </c>
      <c r="B1" s="6" t="s">
        <v>176</v>
      </c>
      <c r="C1" s="6" t="s">
        <v>165</v>
      </c>
      <c r="D1" s="6" t="s">
        <v>22</v>
      </c>
    </row>
    <row r="2" customFormat="false" ht="15" hidden="false" customHeight="false" outlineLevel="0" collapsed="false">
      <c r="A2" s="7" t="s">
        <v>177</v>
      </c>
      <c r="B2" s="7" t="s">
        <v>178</v>
      </c>
      <c r="C2" s="7" t="s">
        <v>179</v>
      </c>
      <c r="D2" s="9" t="s">
        <v>33</v>
      </c>
    </row>
    <row r="3" customFormat="false" ht="15" hidden="false" customHeight="false" outlineLevel="0" collapsed="false">
      <c r="A3" s="7" t="s">
        <v>180</v>
      </c>
      <c r="B3" s="7" t="s">
        <v>178</v>
      </c>
      <c r="C3" s="7" t="s">
        <v>181</v>
      </c>
      <c r="D3" s="9" t="s">
        <v>33</v>
      </c>
    </row>
    <row r="4" customFormat="false" ht="15" hidden="false" customHeight="false" outlineLevel="0" collapsed="false">
      <c r="A4" s="7" t="s">
        <v>182</v>
      </c>
      <c r="B4" s="7" t="s">
        <v>178</v>
      </c>
      <c r="C4" s="7" t="s">
        <v>183</v>
      </c>
      <c r="D4" s="9" t="s">
        <v>33</v>
      </c>
    </row>
    <row r="5" customFormat="false" ht="23.85" hidden="false" customHeight="false" outlineLevel="0" collapsed="false">
      <c r="A5" s="7" t="s">
        <v>184</v>
      </c>
      <c r="B5" s="7" t="s">
        <v>185</v>
      </c>
      <c r="C5" s="7" t="s">
        <v>186</v>
      </c>
      <c r="D5" s="9" t="s">
        <v>33</v>
      </c>
    </row>
    <row r="6" customFormat="false" ht="15" hidden="false" customHeight="false" outlineLevel="0" collapsed="false">
      <c r="A6" s="7" t="s">
        <v>187</v>
      </c>
      <c r="B6" s="7" t="s">
        <v>185</v>
      </c>
      <c r="C6" s="7" t="s">
        <v>188</v>
      </c>
      <c r="D6" s="9" t="s">
        <v>33</v>
      </c>
    </row>
    <row r="7" customFormat="false" ht="15" hidden="false" customHeight="false" outlineLevel="0" collapsed="false">
      <c r="A7" s="7" t="s">
        <v>189</v>
      </c>
      <c r="B7" s="7" t="s">
        <v>185</v>
      </c>
      <c r="C7" s="7" t="s">
        <v>190</v>
      </c>
      <c r="D7" s="9" t="s">
        <v>33</v>
      </c>
    </row>
    <row r="8" customFormat="false" ht="15" hidden="false" customHeight="false" outlineLevel="0" collapsed="false">
      <c r="A8" s="7" t="s">
        <v>191</v>
      </c>
      <c r="B8" s="7" t="s">
        <v>192</v>
      </c>
      <c r="C8" s="7" t="s">
        <v>193</v>
      </c>
      <c r="D8" s="9" t="s">
        <v>33</v>
      </c>
    </row>
    <row r="9" customFormat="false" ht="15" hidden="false" customHeight="false" outlineLevel="0" collapsed="false">
      <c r="A9" s="7" t="s">
        <v>194</v>
      </c>
      <c r="B9" s="7" t="s">
        <v>195</v>
      </c>
      <c r="C9" s="7" t="s">
        <v>196</v>
      </c>
      <c r="D9" s="9" t="s">
        <v>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38"/>
    <col collapsed="false" customWidth="true" hidden="false" outlineLevel="0" max="3" min="3" style="0" width="50"/>
    <col collapsed="false" customWidth="true" hidden="false" outlineLevel="0" max="4" min="4" style="0" width="34"/>
    <col collapsed="false" customWidth="true" hidden="false" outlineLevel="0" max="5" min="5" style="0" width="30"/>
    <col collapsed="false" customWidth="true" hidden="false" outlineLevel="0" max="6" min="6" style="0" width="12"/>
    <col collapsed="false" customWidth="true" hidden="false" outlineLevel="0" max="7" min="7" style="0" width="20"/>
    <col collapsed="false" customWidth="true" hidden="false" outlineLevel="0" max="8" min="8" style="0" width="24"/>
    <col collapsed="false" customWidth="true" hidden="false" outlineLevel="0" max="9" min="9" style="0" width="48"/>
    <col collapsed="false" customWidth="true" hidden="false" outlineLevel="0" max="10" min="10" style="0" width="13"/>
  </cols>
  <sheetData>
    <row r="1" customFormat="false" ht="15" hidden="false" customHeight="false" outlineLevel="0" collapsed="false">
      <c r="A1" s="6" t="s">
        <v>197</v>
      </c>
      <c r="B1" s="6" t="s">
        <v>20</v>
      </c>
      <c r="C1" s="6" t="s">
        <v>198</v>
      </c>
      <c r="D1" s="6" t="s">
        <v>199</v>
      </c>
      <c r="E1" s="6" t="s">
        <v>200</v>
      </c>
      <c r="F1" s="6" t="s">
        <v>201</v>
      </c>
      <c r="G1" s="6" t="s">
        <v>202</v>
      </c>
      <c r="H1" s="6" t="s">
        <v>203</v>
      </c>
      <c r="I1" s="6" t="s">
        <v>204</v>
      </c>
      <c r="J1" s="6" t="s">
        <v>22</v>
      </c>
    </row>
    <row r="2" customFormat="false" ht="23.85" hidden="false" customHeight="false" outlineLevel="0" collapsed="false">
      <c r="A2" s="7" t="s">
        <v>205</v>
      </c>
      <c r="B2" s="7" t="s">
        <v>206</v>
      </c>
      <c r="C2" s="7" t="s">
        <v>207</v>
      </c>
      <c r="D2" s="7" t="s">
        <v>208</v>
      </c>
      <c r="E2" s="7" t="s">
        <v>209</v>
      </c>
      <c r="F2" s="7" t="s">
        <v>210</v>
      </c>
      <c r="G2" s="7" t="s">
        <v>211</v>
      </c>
      <c r="H2" s="7" t="s">
        <v>212</v>
      </c>
      <c r="I2" s="7" t="s">
        <v>213</v>
      </c>
      <c r="J2" s="9" t="s">
        <v>33</v>
      </c>
    </row>
    <row r="3" customFormat="false" ht="23.85" hidden="false" customHeight="false" outlineLevel="0" collapsed="false">
      <c r="A3" s="7" t="s">
        <v>214</v>
      </c>
      <c r="B3" s="7" t="s">
        <v>215</v>
      </c>
      <c r="C3" s="7" t="s">
        <v>216</v>
      </c>
      <c r="D3" s="7" t="s">
        <v>217</v>
      </c>
      <c r="E3" s="7" t="s">
        <v>218</v>
      </c>
      <c r="F3" s="7" t="s">
        <v>210</v>
      </c>
      <c r="G3" s="7" t="s">
        <v>219</v>
      </c>
      <c r="H3" s="7" t="s">
        <v>220</v>
      </c>
      <c r="I3" s="7" t="s">
        <v>221</v>
      </c>
      <c r="J3" s="9" t="s">
        <v>33</v>
      </c>
    </row>
    <row r="4" customFormat="false" ht="23.85" hidden="false" customHeight="false" outlineLevel="0" collapsed="false">
      <c r="A4" s="7" t="s">
        <v>222</v>
      </c>
      <c r="B4" s="7" t="s">
        <v>223</v>
      </c>
      <c r="C4" s="7" t="s">
        <v>224</v>
      </c>
      <c r="D4" s="7" t="s">
        <v>225</v>
      </c>
      <c r="E4" s="7" t="s">
        <v>226</v>
      </c>
      <c r="F4" s="7" t="s">
        <v>227</v>
      </c>
      <c r="G4" s="7" t="s">
        <v>228</v>
      </c>
      <c r="H4" s="7" t="s">
        <v>229</v>
      </c>
      <c r="I4" s="7" t="s">
        <v>230</v>
      </c>
      <c r="J4" s="9" t="s">
        <v>33</v>
      </c>
    </row>
    <row r="5" customFormat="false" ht="23.85" hidden="false" customHeight="false" outlineLevel="0" collapsed="false">
      <c r="A5" s="7" t="s">
        <v>231</v>
      </c>
      <c r="B5" s="7" t="s">
        <v>232</v>
      </c>
      <c r="C5" s="7" t="s">
        <v>233</v>
      </c>
      <c r="D5" s="7" t="s">
        <v>234</v>
      </c>
      <c r="E5" s="7" t="s">
        <v>235</v>
      </c>
      <c r="F5" s="7" t="s">
        <v>210</v>
      </c>
      <c r="G5" s="7" t="s">
        <v>236</v>
      </c>
      <c r="H5" s="7" t="s">
        <v>237</v>
      </c>
      <c r="I5" s="7" t="s">
        <v>238</v>
      </c>
      <c r="J5" s="9" t="s">
        <v>33</v>
      </c>
    </row>
    <row r="6" customFormat="false" ht="23.85" hidden="false" customHeight="false" outlineLevel="0" collapsed="false">
      <c r="A6" s="7" t="s">
        <v>239</v>
      </c>
      <c r="B6" s="7" t="s">
        <v>240</v>
      </c>
      <c r="C6" s="7" t="s">
        <v>241</v>
      </c>
      <c r="D6" s="7" t="s">
        <v>242</v>
      </c>
      <c r="E6" s="7" t="s">
        <v>243</v>
      </c>
      <c r="F6" s="7" t="s">
        <v>244</v>
      </c>
      <c r="G6" s="7" t="s">
        <v>219</v>
      </c>
      <c r="H6" s="7" t="s">
        <v>245</v>
      </c>
      <c r="I6" s="7" t="s">
        <v>246</v>
      </c>
      <c r="J6" s="9" t="s">
        <v>33</v>
      </c>
    </row>
    <row r="7" customFormat="false" ht="23.85" hidden="false" customHeight="false" outlineLevel="0" collapsed="false">
      <c r="A7" s="7" t="s">
        <v>247</v>
      </c>
      <c r="B7" s="7" t="s">
        <v>248</v>
      </c>
      <c r="C7" s="7" t="s">
        <v>249</v>
      </c>
      <c r="D7" s="7" t="s">
        <v>250</v>
      </c>
      <c r="E7" s="7" t="s">
        <v>226</v>
      </c>
      <c r="F7" s="7" t="s">
        <v>244</v>
      </c>
      <c r="G7" s="7" t="s">
        <v>236</v>
      </c>
      <c r="H7" s="7" t="s">
        <v>251</v>
      </c>
      <c r="I7" s="7" t="s">
        <v>252</v>
      </c>
      <c r="J7" s="9" t="s">
        <v>33</v>
      </c>
    </row>
    <row r="8" customFormat="false" ht="35.05" hidden="false" customHeight="false" outlineLevel="0" collapsed="false">
      <c r="A8" s="7" t="s">
        <v>253</v>
      </c>
      <c r="B8" s="7" t="s">
        <v>254</v>
      </c>
      <c r="C8" s="7" t="s">
        <v>255</v>
      </c>
      <c r="D8" s="7" t="s">
        <v>256</v>
      </c>
      <c r="E8" s="7" t="s">
        <v>226</v>
      </c>
      <c r="F8" s="7" t="s">
        <v>244</v>
      </c>
      <c r="G8" s="7" t="s">
        <v>211</v>
      </c>
      <c r="H8" s="7" t="s">
        <v>257</v>
      </c>
      <c r="I8" s="7" t="s">
        <v>258</v>
      </c>
      <c r="J8" s="9" t="s">
        <v>33</v>
      </c>
    </row>
    <row r="9" customFormat="false" ht="23.85" hidden="false" customHeight="false" outlineLevel="0" collapsed="false">
      <c r="A9" s="7" t="s">
        <v>259</v>
      </c>
      <c r="B9" s="7" t="s">
        <v>260</v>
      </c>
      <c r="C9" s="7" t="s">
        <v>261</v>
      </c>
      <c r="D9" s="7" t="s">
        <v>256</v>
      </c>
      <c r="E9" s="7" t="s">
        <v>226</v>
      </c>
      <c r="F9" s="7" t="s">
        <v>210</v>
      </c>
      <c r="G9" s="7" t="s">
        <v>228</v>
      </c>
      <c r="H9" s="7" t="s">
        <v>262</v>
      </c>
      <c r="I9" s="7" t="s">
        <v>263</v>
      </c>
      <c r="J9" s="9" t="s">
        <v>33</v>
      </c>
    </row>
    <row r="10" customFormat="false" ht="23.85" hidden="false" customHeight="false" outlineLevel="0" collapsed="false">
      <c r="A10" s="7" t="s">
        <v>264</v>
      </c>
      <c r="B10" s="7" t="s">
        <v>265</v>
      </c>
      <c r="C10" s="7" t="s">
        <v>266</v>
      </c>
      <c r="D10" s="7" t="s">
        <v>267</v>
      </c>
      <c r="E10" s="7" t="s">
        <v>226</v>
      </c>
      <c r="F10" s="7" t="s">
        <v>210</v>
      </c>
      <c r="G10" s="7" t="s">
        <v>268</v>
      </c>
      <c r="H10" s="7" t="s">
        <v>269</v>
      </c>
      <c r="I10" s="7" t="s">
        <v>270</v>
      </c>
      <c r="J10" s="9" t="s">
        <v>33</v>
      </c>
    </row>
    <row r="11" customFormat="false" ht="23.85" hidden="false" customHeight="false" outlineLevel="0" collapsed="false">
      <c r="A11" s="7" t="s">
        <v>271</v>
      </c>
      <c r="B11" s="7" t="s">
        <v>272</v>
      </c>
      <c r="C11" s="7" t="s">
        <v>273</v>
      </c>
      <c r="D11" s="7" t="s">
        <v>274</v>
      </c>
      <c r="E11" s="7" t="s">
        <v>226</v>
      </c>
      <c r="F11" s="7" t="s">
        <v>244</v>
      </c>
      <c r="G11" s="7" t="s">
        <v>211</v>
      </c>
      <c r="H11" s="7" t="s">
        <v>275</v>
      </c>
      <c r="I11" s="7" t="s">
        <v>276</v>
      </c>
      <c r="J11" s="9" t="s">
        <v>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22"/>
    <col collapsed="false" customWidth="true" hidden="false" outlineLevel="0" max="3" min="3" style="0" width="56"/>
    <col collapsed="false" customWidth="true" hidden="false" outlineLevel="0" max="4" min="4" style="0" width="50"/>
    <col collapsed="false" customWidth="true" hidden="false" outlineLevel="0" max="5" min="5" style="0" width="10"/>
  </cols>
  <sheetData>
    <row r="1" customFormat="false" ht="15" hidden="false" customHeight="false" outlineLevel="0" collapsed="false">
      <c r="A1" s="6" t="s">
        <v>277</v>
      </c>
      <c r="B1" s="6" t="s">
        <v>278</v>
      </c>
      <c r="C1" s="6" t="s">
        <v>279</v>
      </c>
      <c r="D1" s="6" t="s">
        <v>280</v>
      </c>
      <c r="E1" s="6" t="s">
        <v>281</v>
      </c>
    </row>
    <row r="2" customFormat="false" ht="23.85" hidden="false" customHeight="false" outlineLevel="0" collapsed="false">
      <c r="A2" s="7" t="s">
        <v>282</v>
      </c>
      <c r="B2" s="7" t="s">
        <v>283</v>
      </c>
      <c r="C2" s="7" t="s">
        <v>284</v>
      </c>
      <c r="D2" s="7" t="s">
        <v>285</v>
      </c>
      <c r="E2" s="10" t="s">
        <v>286</v>
      </c>
    </row>
    <row r="3" customFormat="false" ht="23.85" hidden="false" customHeight="false" outlineLevel="0" collapsed="false">
      <c r="A3" s="7" t="s">
        <v>287</v>
      </c>
      <c r="B3" s="7" t="s">
        <v>288</v>
      </c>
      <c r="C3" s="7" t="s">
        <v>289</v>
      </c>
      <c r="D3" s="7" t="s">
        <v>290</v>
      </c>
      <c r="E3" s="10" t="s">
        <v>286</v>
      </c>
    </row>
    <row r="4" customFormat="false" ht="23.85" hidden="false" customHeight="false" outlineLevel="0" collapsed="false">
      <c r="A4" s="7" t="s">
        <v>291</v>
      </c>
      <c r="B4" s="7" t="s">
        <v>292</v>
      </c>
      <c r="C4" s="7" t="s">
        <v>293</v>
      </c>
      <c r="D4" s="7" t="s">
        <v>294</v>
      </c>
      <c r="E4" s="10" t="s">
        <v>286</v>
      </c>
    </row>
    <row r="5" customFormat="false" ht="23.85" hidden="false" customHeight="false" outlineLevel="0" collapsed="false">
      <c r="A5" s="7" t="s">
        <v>295</v>
      </c>
      <c r="B5" s="7" t="s">
        <v>296</v>
      </c>
      <c r="C5" s="7" t="s">
        <v>297</v>
      </c>
      <c r="D5" s="7" t="s">
        <v>298</v>
      </c>
      <c r="E5" s="8" t="s">
        <v>299</v>
      </c>
    </row>
    <row r="6" customFormat="false" ht="15" hidden="false" customHeight="false" outlineLevel="0" collapsed="false">
      <c r="A6" s="7" t="s">
        <v>300</v>
      </c>
      <c r="B6" s="7" t="s">
        <v>296</v>
      </c>
      <c r="C6" s="7" t="s">
        <v>301</v>
      </c>
      <c r="D6" s="7" t="s">
        <v>302</v>
      </c>
      <c r="E6" s="8" t="s">
        <v>299</v>
      </c>
    </row>
    <row r="7" customFormat="false" ht="15" hidden="false" customHeight="false" outlineLevel="0" collapsed="false">
      <c r="A7" s="7" t="s">
        <v>303</v>
      </c>
      <c r="B7" s="7" t="s">
        <v>296</v>
      </c>
      <c r="C7" s="7" t="s">
        <v>304</v>
      </c>
      <c r="D7" s="7" t="s">
        <v>305</v>
      </c>
      <c r="E7" s="10" t="s">
        <v>286</v>
      </c>
    </row>
    <row r="8" customFormat="false" ht="15" hidden="false" customHeight="false" outlineLevel="0" collapsed="false">
      <c r="A8" s="7" t="s">
        <v>306</v>
      </c>
      <c r="B8" s="7" t="s">
        <v>307</v>
      </c>
      <c r="C8" s="7" t="s">
        <v>308</v>
      </c>
      <c r="D8" s="7" t="s">
        <v>309</v>
      </c>
      <c r="E8" s="9" t="s">
        <v>310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2026-10-08T05:57:43Z</dcterms:created>
  <dc:creator>openpyxl</dc:creator>
  <dc:description/>
  <dc:language>en-US</dc:language>
  <cp:lastModifiedBy/>
  <dcterms:modified xsi:type="dcterms:W3CDTF">2026-10-08T05:57:43Z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