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corecard" sheetId="2" state="visible" r:id="rId4"/>
    <sheet name="Gaps" sheetId="3" state="visible" r:id="rId5"/>
    <sheet name="Gap_Summary" sheetId="4" state="visible" r:id="rId6"/>
    <sheet name="Readiness_Scale" sheetId="5" state="visible" r:id="rId7"/>
  </sheets>
  <definedNames>
    <definedName function="false" hidden="true" localSheetId="2" name="_xlnm._FilterDatabase" vbProcedure="false">Gaps!$A$1:$K$32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<sst xmlns="http://schemas.openxmlformats.org/spreadsheetml/2006/main" count="484" uniqueCount="308">
  <si>
    <t xml:space="preserve">VELOOP REWARDS - Task 01 | Work Package R: Analytics Gap Assessment and Readiness Scorecard</t>
  </si>
  <si>
    <t xml:space="preserve">Gaps between what VELOOP needs eventually and what is currently available or verified. Nothing is rated as verified or implemented, because nothing has been confirmed with VELOOP. Levels describe the state of the work, not results. Counts from the supplied simulated dataset describe that file only.</t>
  </si>
  <si>
    <t xml:space="preserve">Every priority has a reason, in the style of the brief: Critical means reporting would be unreliable or impossible without it.</t>
  </si>
  <si>
    <t xml:space="preserve">Open questions:</t>
  </si>
  <si>
    <t xml:space="preserve">- Which Critical gaps can Engineering answer first (RG-01, RG-04, RG-19)?</t>
  </si>
  <si>
    <t xml:space="preserve">- When can the remaining datasets be provided, so the data quality gap (RG-13) can close (A046)?</t>
  </si>
  <si>
    <t xml:space="preserve">- Who will review the document set for the VELOOP team (RG-27)?</t>
  </si>
  <si>
    <t xml:space="preserve">- Which Stakeholder decisions can be taken now ('active' definition, activation rule)?</t>
  </si>
  <si>
    <t xml:space="preserve">Live counts</t>
  </si>
  <si>
    <t xml:space="preserve">Areas assessed</t>
  </si>
  <si>
    <t xml:space="preserve">Gaps identified</t>
  </si>
  <si>
    <t xml:space="preserve">Critical gaps</t>
  </si>
  <si>
    <t xml:space="preserve">High gaps</t>
  </si>
  <si>
    <t xml:space="preserve">Areas at level R3 or R4 now</t>
  </si>
  <si>
    <t xml:space="preserve">Area</t>
  </si>
  <si>
    <t xml:space="preserve">Needed Eventually</t>
  </si>
  <si>
    <t xml:space="preserve">Currently Available / Verified</t>
  </si>
  <si>
    <t xml:space="preserve">Evidence From This Project</t>
  </si>
  <si>
    <t xml:space="preserve">Level Now</t>
  </si>
  <si>
    <t xml:space="preserve">Level Needed for First Production Reporting</t>
  </si>
  <si>
    <t xml:space="preserve">Steps to Go</t>
  </si>
  <si>
    <t xml:space="preserve">Area Priority</t>
  </si>
  <si>
    <t xml:space="preserve">Priority Reason</t>
  </si>
  <si>
    <t xml:space="preserve">Event coverage</t>
  </si>
  <si>
    <t xml:space="preserve">Every event in the plan that supports a live feature is emitted, validated and de-duplicated; at least the Critical and High events</t>
  </si>
  <si>
    <t xml:space="preserve">No event is confirmed to exist in VELOOP</t>
  </si>
  <si>
    <t xml:space="preserve">Event Tracking Plan (42 events, 9 Critical); Coverage Matrix (42 rows); Developer Handoff (25 event requirements)</t>
  </si>
  <si>
    <t xml:space="preserve">R1</t>
  </si>
  <si>
    <t xml:space="preserve">R4</t>
  </si>
  <si>
    <t xml:space="preserve">Critical</t>
  </si>
  <si>
    <t xml:space="preserve">Without events, no production KPI can be computed</t>
  </si>
  <si>
    <t xml:space="preserve">Data model</t>
  </si>
  <si>
    <t xml:space="preserve">The 10 entities stored with stable keys and enforced relationships</t>
  </si>
  <si>
    <t xml:space="preserve">Logical model proposed; not compared with VELOOP's real tables</t>
  </si>
  <si>
    <t xml:space="preserve">Logical Data Model (16 foreign keys, 20 relationships, ER diagram)</t>
  </si>
  <si>
    <t xml:space="preserve">Without a stable user_id and transaction_id, joins and wallet deduplication cannot be guaranteed</t>
  </si>
  <si>
    <t xml:space="preserve">Data dictionary</t>
  </si>
  <si>
    <t xml:space="preserve">Every field defined with confirmed allowed values, units and sensitivity</t>
  </si>
  <si>
    <t xml:space="preserve">128 fields defined; 0 confirmed; the Users entity was compared with the supplied dataset; other entities have no data</t>
  </si>
  <si>
    <t xml:space="preserve">Data Dictionary (128 fields, 99 unique names, 6 Restricted); Simulated Data Profiling (schema alignment of the 27 dataset columns)</t>
  </si>
  <si>
    <t xml:space="preserve">R2</t>
  </si>
  <si>
    <t xml:space="preserve">R3</t>
  </si>
  <si>
    <t xml:space="preserve">High</t>
  </si>
  <si>
    <t xml:space="preserve">Allowed values, units and methods are unconfirmed, so validation cannot be finalised</t>
  </si>
  <si>
    <t xml:space="preserve">KPI definitions</t>
  </si>
  <si>
    <t xml:space="preserve">Agreed, reproducible definitions with owners and no unsettled terms</t>
  </si>
  <si>
    <t xml:space="preserve">54 KPIs defined; 12 To Be Verified; tested against the supplied file: 2 calculable, 5 partly, 47 not; 'active' and 'activation' undecided</t>
  </si>
  <si>
    <t xml:space="preserve">KPI Catalogue (54 KPIs); Simulated Data Profiling (KPI test of every KPI)</t>
  </si>
  <si>
    <t xml:space="preserve">Core KPIs could change meaning once 'active' and 'activation' are decided</t>
  </si>
  <si>
    <t xml:space="preserve">Data quality</t>
  </si>
  <si>
    <t xml:space="preserve">Rules running at the earliest sensible layer, with quarantine, owners and rules proven on real data</t>
  </si>
  <si>
    <t xml:space="preserve">39 rules designed; 18 tested on the Users data (7 passed, 8 failed); 21 could not be tested</t>
  </si>
  <si>
    <t xml:space="preserve">Data Quality Control Framework (39 rules, 11 Critical); Data Quality Audit (25 issues logged)</t>
  </si>
  <si>
    <t xml:space="preserve">Only the Users data could be tested; rules for rewards, wallet, withdrawals, referrals and events remain unproven</t>
  </si>
  <si>
    <t xml:space="preserve">Dashboard readiness</t>
  </si>
  <si>
    <t xml:space="preserve">Dashboards fed by the analytics layer, with a chosen tool and confirmed KPIs</t>
  </si>
  <si>
    <t xml:space="preserve">56 visuals specified; no tool, no data</t>
  </si>
  <si>
    <t xml:space="preserve">Dashboard Blueprint (7 dashboards, 56 visuals, wireframes)</t>
  </si>
  <si>
    <t xml:space="preserve">Medium</t>
  </si>
  <si>
    <t xml:space="preserve">Specified, but blocked by events; building earlier would add no value</t>
  </si>
  <si>
    <t xml:space="preserve">Engineering instrumentation</t>
  </si>
  <si>
    <t xml:space="preserve">Collection route, idempotent writes, UTC timestamps, provider ids and a data store</t>
  </si>
  <si>
    <t xml:space="preserve">Specification written; no engineering response recorded</t>
  </si>
  <si>
    <t xml:space="preserve">Developer Handoff (25 events, 120 payload rows, 12 general requirements, 12 pre-conditions); Pipeline Proposal (13 components)</t>
  </si>
  <si>
    <t xml:space="preserve">Idempotency and the collection route are undecided, so duplicates and gaps are possible</t>
  </si>
  <si>
    <t xml:space="preserve">Access control</t>
  </si>
  <si>
    <t xml:space="preserve">Roles, owners, grants and logging in place; Restricted fields protected</t>
  </si>
  <si>
    <t xml:space="preserve">Access model proposed for 6 roles and 10 zones; nothing implemented</t>
  </si>
  <si>
    <t xml:space="preserve">Privacy and Governance Proposal (6 Restricted fields, owners, workflow)</t>
  </si>
  <si>
    <t xml:space="preserve">Restricted fields need owners and grants before data flows</t>
  </si>
  <si>
    <t xml:space="preserve">Documentation</t>
  </si>
  <si>
    <t xml:space="preserve">Reviewed, versioned and agreed with Product and Engineering</t>
  </si>
  <si>
    <t xml:space="preserve">22 documents at baseline versions; not yet reviewed by the VELOOP team</t>
  </si>
  <si>
    <t xml:space="preserve">Assumption Register (50 unknowns), Change Management (log, versions, impact matrix)</t>
  </si>
  <si>
    <t xml:space="preserve">Statuses stay Proposed until the VELOOP team confirms them</t>
  </si>
  <si>
    <t xml:space="preserve">Reporting</t>
  </si>
  <si>
    <t xml:space="preserve">Regular business reporting from governed production data</t>
  </si>
  <si>
    <t xml:space="preserve">No production reporting exists or is verified</t>
  </si>
  <si>
    <t xml:space="preserve">KPI Catalogue and Dashboard Blueprint define what reports would contain</t>
  </si>
  <si>
    <t xml:space="preserve">No figure can be relied on until the layers below exist</t>
  </si>
  <si>
    <t xml:space="preserve">Gap ID</t>
  </si>
  <si>
    <t xml:space="preserve">Gap</t>
  </si>
  <si>
    <t xml:space="preserve">Priority</t>
  </si>
  <si>
    <t xml:space="preserve">Owner</t>
  </si>
  <si>
    <t xml:space="preserve">Related Assumptions</t>
  </si>
  <si>
    <t xml:space="preserve">Earlier Gaps</t>
  </si>
  <si>
    <t xml:space="preserve">Needed By</t>
  </si>
  <si>
    <t xml:space="preserve">Closing Evidence</t>
  </si>
  <si>
    <t xml:space="preserve">Proposed Backlog Item</t>
  </si>
  <si>
    <t xml:space="preserve">RG-01</t>
  </si>
  <si>
    <t xml:space="preserve">None of the 42 proposed events is confirmed to exist in VELOOP, including the 9 Critical ones</t>
  </si>
  <si>
    <t xml:space="preserve">Without registered, task, reward, wallet and withdrawal events, none of the core KPIs can be computed from production data</t>
  </si>
  <si>
    <t xml:space="preserve">Engineering</t>
  </si>
  <si>
    <t xml:space="preserve">A001, A021</t>
  </si>
  <si>
    <t xml:space="preserve">G03</t>
  </si>
  <si>
    <t xml:space="preserve">Pre-launch</t>
  </si>
  <si>
    <t xml:space="preserve">Engineering lists emitted events with a sample record for each</t>
  </si>
  <si>
    <t xml:space="preserve">Confirm which events exist and who emits them</t>
  </si>
  <si>
    <t xml:space="preserve">RG-02</t>
  </si>
  <si>
    <t xml:space="preserve">It is not confirmed which events come from the frontend and which from the backend</t>
  </si>
  <si>
    <t xml:space="preserve">Outcomes emitted by the frontend would count results the system never confirmed</t>
  </si>
  <si>
    <t xml:space="preserve">A021</t>
  </si>
  <si>
    <t xml:space="preserve">-</t>
  </si>
  <si>
    <t xml:space="preserve">Emitter recorded for every Critical and High event</t>
  </si>
  <si>
    <t xml:space="preserve">Confirm emitter for each event</t>
  </si>
  <si>
    <t xml:space="preserve">RG-03</t>
  </si>
  <si>
    <t xml:space="preserve">17 Medium and Low events are not specified to engineering level</t>
  </si>
  <si>
    <t xml:space="preserve">Not needed for the first release, but needed for full coverage of features and dashboards</t>
  </si>
  <si>
    <t xml:space="preserve">Data Analyst</t>
  </si>
  <si>
    <t xml:space="preserve">A044</t>
  </si>
  <si>
    <t xml:space="preserve">Post-launch</t>
  </si>
  <si>
    <t xml:space="preserve">Handoff requirements written for the remaining events</t>
  </si>
  <si>
    <t xml:space="preserve">Specify Medium and Low events</t>
  </si>
  <si>
    <t xml:space="preserve">RG-04</t>
  </si>
  <si>
    <t xml:space="preserve">A stable user_id and a unique transaction_id are not confirmed</t>
  </si>
  <si>
    <t xml:space="preserve">Without a stable user_id, cross-event analysis breaks; without a transaction_id, reliable wallet deduplication cannot be guaranteed</t>
  </si>
  <si>
    <t xml:space="preserve">A003, A005</t>
  </si>
  <si>
    <t xml:space="preserve">G01, G02</t>
  </si>
  <si>
    <t xml:space="preserve">Engineering confirms immutable user_id and unique, idempotent transaction_id</t>
  </si>
  <si>
    <t xml:space="preserve">Stable user_id and transaction_id</t>
  </si>
  <si>
    <t xml:space="preserve">RG-05</t>
  </si>
  <si>
    <t xml:space="preserve">Withdrawal state history may not be stored with a timestamp per state</t>
  </si>
  <si>
    <t xml:space="preserve">Without per-state times, only the latest status is visible and processing time cannot be measured</t>
  </si>
  <si>
    <t xml:space="preserve">A006, A007</t>
  </si>
  <si>
    <t xml:space="preserve">G06</t>
  </si>
  <si>
    <t xml:space="preserve">Sample withdrawal shows requested, processing and final timestamps</t>
  </si>
  <si>
    <t xml:space="preserve">Store withdrawal state history</t>
  </si>
  <si>
    <t xml:space="preserve">RG-06</t>
  </si>
  <si>
    <t xml:space="preserve">The logical model has not been compared with VELOOP's real tables</t>
  </si>
  <si>
    <t xml:space="preserve">Entities and keys follow the brief, not the product, so some may need to change</t>
  </si>
  <si>
    <t xml:space="preserve">A011, A031</t>
  </si>
  <si>
    <t xml:space="preserve">Model compared with the real schema and differences logged</t>
  </si>
  <si>
    <t xml:space="preserve">Compare model with real schema</t>
  </si>
  <si>
    <t xml:space="preserve">RG-07</t>
  </si>
  <si>
    <t xml:space="preserve">All 128 fields are Proposed or To Be Verified; none is Confirmed</t>
  </si>
  <si>
    <t xml:space="preserve">Allowed values, units and methods are placeholders, so validation rules cannot be finalised</t>
  </si>
  <si>
    <t xml:space="preserve">Engineering / Product</t>
  </si>
  <si>
    <t xml:space="preserve">A002, A006, A022</t>
  </si>
  <si>
    <t xml:space="preserve">Fields confirmed with allowed value lists in the reference table</t>
  </si>
  <si>
    <t xml:space="preserve">Confirm fields and approved lists</t>
  </si>
  <si>
    <t xml:space="preserve">RG-08</t>
  </si>
  <si>
    <t xml:space="preserve">Example values are illustrative, so real value formats are unknown</t>
  </si>
  <si>
    <t xml:space="preserve">Low</t>
  </si>
  <si>
    <t xml:space="preserve">Formats matter for validation but do not block design</t>
  </si>
  <si>
    <t xml:space="preserve">A022</t>
  </si>
  <si>
    <t xml:space="preserve">Real examples (sanitised) added</t>
  </si>
  <si>
    <t xml:space="preserve">Add real example formats</t>
  </si>
  <si>
    <t xml:space="preserve">RG-09</t>
  </si>
  <si>
    <t xml:space="preserve">Which events make a user 'active', and the activity window, are not decided</t>
  </si>
  <si>
    <t xml:space="preserve">DAU, WAU, MAU, returning and inactive users all depend on it</t>
  </si>
  <si>
    <t xml:space="preserve">Product</t>
  </si>
  <si>
    <t xml:space="preserve">A024</t>
  </si>
  <si>
    <t xml:space="preserve">Stakeholder decision</t>
  </si>
  <si>
    <t xml:space="preserve">Decision recorded in the change log</t>
  </si>
  <si>
    <t xml:space="preserve">Decide 'active' definition</t>
  </si>
  <si>
    <t xml:space="preserve">RG-10</t>
  </si>
  <si>
    <t xml:space="preserve">The activation definition for users and referrals is not agreed</t>
  </si>
  <si>
    <t xml:space="preserve">Referral activation and conversion would be reported on an unstable rule</t>
  </si>
  <si>
    <t xml:space="preserve">A010</t>
  </si>
  <si>
    <t xml:space="preserve">G07</t>
  </si>
  <si>
    <t xml:space="preserve">One activation rule agreed with a version</t>
  </si>
  <si>
    <t xml:space="preserve">Agree activation definition</t>
  </si>
  <si>
    <t xml:space="preserve">RG-11</t>
  </si>
  <si>
    <t xml:space="preserve">Timezone and week and month boundaries are not agreed</t>
  </si>
  <si>
    <t xml:space="preserve">Daily metrics shift between days if the timezone changes</t>
  </si>
  <si>
    <t xml:space="preserve">A012</t>
  </si>
  <si>
    <t xml:space="preserve">G11</t>
  </si>
  <si>
    <t xml:space="preserve">Timezone and boundaries written into the KPI Catalogue</t>
  </si>
  <si>
    <t xml:space="preserve">Agree timezone and period boundaries</t>
  </si>
  <si>
    <t xml:space="preserve">RG-12</t>
  </si>
  <si>
    <t xml:space="preserve">Reward units and any conversion between them are not defined</t>
  </si>
  <si>
    <t xml:space="preserve">Amounts in different units cannot be added or compared</t>
  </si>
  <si>
    <t xml:space="preserve">Product / Finance</t>
  </si>
  <si>
    <t xml:space="preserve">A002</t>
  </si>
  <si>
    <t xml:space="preserve">G04</t>
  </si>
  <si>
    <t xml:space="preserve">Unit list and conversion rule confirmed</t>
  </si>
  <si>
    <t xml:space="preserve">Define reward units</t>
  </si>
  <si>
    <t xml:space="preserve">RG-13</t>
  </si>
  <si>
    <t xml:space="preserve">The quality rules have been run only on the Users dataset; rules that need other datasets could not be tested</t>
  </si>
  <si>
    <t xml:space="preserve">Detection logic for reward, wallet, withdrawal, referral and event rules is unproven, and most KPIs could not be tested because their data was not supplied</t>
  </si>
  <si>
    <t xml:space="preserve">Mentor / Product team; Data Analyst</t>
  </si>
  <si>
    <t xml:space="preserve">A046</t>
  </si>
  <si>
    <t xml:space="preserve">Remaining datasets supplied and the audit and KPI test re-run</t>
  </si>
  <si>
    <t xml:space="preserve">Obtain remaining datasets and re-run profiling, audit and KPI tests</t>
  </si>
  <si>
    <t xml:space="preserve">RG-14</t>
  </si>
  <si>
    <t xml:space="preserve">Freshness, volume, clock tolerance and late-arrival limits are not agreed</t>
  </si>
  <si>
    <t xml:space="preserve">Monitoring rules need limits to alert on</t>
  </si>
  <si>
    <t xml:space="preserve">Engineering / Data Analyst</t>
  </si>
  <si>
    <t xml:space="preserve">A035</t>
  </si>
  <si>
    <t xml:space="preserve">Limits agreed and written into the framework</t>
  </si>
  <si>
    <t xml:space="preserve">Agree monitoring limits</t>
  </si>
  <si>
    <t xml:space="preserve">RG-15</t>
  </si>
  <si>
    <t xml:space="preserve">No owner is assigned to triage the quarantine table</t>
  </si>
  <si>
    <t xml:space="preserve">Quarantined records stay unresolved and KPIs stay incomplete</t>
  </si>
  <si>
    <t xml:space="preserve">Data Analyst / Product</t>
  </si>
  <si>
    <t xml:space="preserve">A034</t>
  </si>
  <si>
    <t xml:space="preserve">Named triage owner and cadence</t>
  </si>
  <si>
    <t xml:space="preserve">Assign quarantine triage owner</t>
  </si>
  <si>
    <t xml:space="preserve">RG-16</t>
  </si>
  <si>
    <t xml:space="preserve">Dashboards cannot be built from production data until events and tables exist</t>
  </si>
  <si>
    <t xml:space="preserve">The blueprint is ready but there is no data to show; building early would show empty or misleading charts</t>
  </si>
  <si>
    <t xml:space="preserve">First dashboards built on confirmed Critical events</t>
  </si>
  <si>
    <t xml:space="preserve">Build first dashboards after Critical events</t>
  </si>
  <si>
    <t xml:space="preserve">RG-17</t>
  </si>
  <si>
    <t xml:space="preserve">The BI tool is not chosen</t>
  </si>
  <si>
    <t xml:space="preserve">Aggregated-only access and refresh depend on the tool</t>
  </si>
  <si>
    <t xml:space="preserve">Product / Data Analyst</t>
  </si>
  <si>
    <t xml:space="preserve">A032</t>
  </si>
  <si>
    <t xml:space="preserve">Tool chosen against the blueprint and access model</t>
  </si>
  <si>
    <t xml:space="preserve">Choose BI option</t>
  </si>
  <si>
    <t xml:space="preserve">RG-18</t>
  </si>
  <si>
    <t xml:space="preserve">12 KPIs are To Be Verified and need a caveat or to be hidden until confirmed</t>
  </si>
  <si>
    <t xml:space="preserve">Showing unverified KPIs without a label would overstate certainty</t>
  </si>
  <si>
    <t xml:space="preserve">A010, A013, A029, A030</t>
  </si>
  <si>
    <t xml:space="preserve">Before the related dashboard</t>
  </si>
  <si>
    <t xml:space="preserve">Each KPI confirmed or labelled on the dashboard</t>
  </si>
  <si>
    <t xml:space="preserve">Label or confirm To Be Verified KPIs</t>
  </si>
  <si>
    <t xml:space="preserve">RG-19</t>
  </si>
  <si>
    <t xml:space="preserve">No idempotency design is agreed for event and wallet writes</t>
  </si>
  <si>
    <t xml:space="preserve">Retries could create duplicate events and duplicate wallet credits</t>
  </si>
  <si>
    <t xml:space="preserve">A005, A023</t>
  </si>
  <si>
    <t xml:space="preserve">G02</t>
  </si>
  <si>
    <t xml:space="preserve">Idempotency approach documented and tested with a repeated request</t>
  </si>
  <si>
    <t xml:space="preserve">Agree and test idempotency</t>
  </si>
  <si>
    <t xml:space="preserve">RG-20</t>
  </si>
  <si>
    <t xml:space="preserve">The collection route and analytics data store are not chosen</t>
  </si>
  <si>
    <t xml:space="preserve">Events have nowhere to land and the pipeline cannot start</t>
  </si>
  <si>
    <t xml:space="preserve">A011, A033</t>
  </si>
  <si>
    <t xml:space="preserve">G14</t>
  </si>
  <si>
    <t xml:space="preserve">Route and store documented; a test event reaches the raw zone</t>
  </si>
  <si>
    <t xml:space="preserve">Choose collection route and store</t>
  </si>
  <si>
    <t xml:space="preserve">RG-21</t>
  </si>
  <si>
    <t xml:space="preserve">Provider reference ids and callbacks are not confirmed</t>
  </si>
  <si>
    <t xml:space="preserve">Third-party earning cannot be reconciled and completions may be understated</t>
  </si>
  <si>
    <t xml:space="preserve">A009, A042</t>
  </si>
  <si>
    <t xml:space="preserve">G10</t>
  </si>
  <si>
    <t xml:space="preserve">Provider-validated attempts carry a reference id</t>
  </si>
  <si>
    <t xml:space="preserve">Store provider reference ids</t>
  </si>
  <si>
    <t xml:space="preserve">RG-22</t>
  </si>
  <si>
    <t xml:space="preserve">Timestamp format and timezone in the backend are not confirmed</t>
  </si>
  <si>
    <t xml:space="preserve">A wrong day or a missing timezone changes daily metrics and streaks</t>
  </si>
  <si>
    <t xml:space="preserve">Sample records show UTC ISO 8601</t>
  </si>
  <si>
    <t xml:space="preserve">Standardise UTC timestamps</t>
  </si>
  <si>
    <t xml:space="preserve">RG-23</t>
  </si>
  <si>
    <t xml:space="preserve">A pending reward state and the grain of task attempts are not confirmed</t>
  </si>
  <si>
    <t xml:space="preserve">Pending Rewards and Task Completion Rate depend on them</t>
  </si>
  <si>
    <t xml:space="preserve">A020, A031</t>
  </si>
  <si>
    <t xml:space="preserve">G05</t>
  </si>
  <si>
    <t xml:space="preserve">Engineering confirms both</t>
  </si>
  <si>
    <t xml:space="preserve">Confirm pending state and attempt storage</t>
  </si>
  <si>
    <t xml:space="preserve">RG-24</t>
  </si>
  <si>
    <t xml:space="preserve">Roles, data owners and access grants exist only on paper</t>
  </si>
  <si>
    <t xml:space="preserve">Without them, Restricted fields (6) could be over-exposed and approvals have no owner</t>
  </si>
  <si>
    <t xml:space="preserve">Product / Engineering</t>
  </si>
  <si>
    <t xml:space="preserve">A037, A039</t>
  </si>
  <si>
    <t xml:space="preserve">Named owners and an access log</t>
  </si>
  <si>
    <t xml:space="preserve">Name data owners and set up access</t>
  </si>
  <si>
    <t xml:space="preserve">RG-25</t>
  </si>
  <si>
    <t xml:space="preserve">Retention, deletion and consent approaches need Legal review</t>
  </si>
  <si>
    <t xml:space="preserve">Raw data is append-only, so deletion requests need a designed process</t>
  </si>
  <si>
    <t xml:space="preserve">Legal / Product</t>
  </si>
  <si>
    <t xml:space="preserve">A016, A036</t>
  </si>
  <si>
    <t xml:space="preserve">Written Legal guidance and a retention period per zone</t>
  </si>
  <si>
    <t xml:space="preserve">Get Legal guidance on retention and deletion</t>
  </si>
  <si>
    <t xml:space="preserve">RG-26</t>
  </si>
  <si>
    <t xml:space="preserve">Small-group suppression size and access review cadence are not set</t>
  </si>
  <si>
    <t xml:space="preserve">Needed for safe aggregated reporting but not blocking</t>
  </si>
  <si>
    <t xml:space="preserve">A038, A039</t>
  </si>
  <si>
    <t xml:space="preserve">Values agreed</t>
  </si>
  <si>
    <t xml:space="preserve">Set suppression size and review cadence</t>
  </si>
  <si>
    <t xml:space="preserve">RG-27</t>
  </si>
  <si>
    <t xml:space="preserve">The documents have not been reviewed with Product and Engineering</t>
  </si>
  <si>
    <t xml:space="preserve">A018</t>
  </si>
  <si>
    <t xml:space="preserve">Review notes and statuses updated</t>
  </si>
  <si>
    <t xml:space="preserve">Review documents with the team</t>
  </si>
  <si>
    <t xml:space="preserve">RG-28</t>
  </si>
  <si>
    <t xml:space="preserve">Change approval roles and notice periods are not agreed</t>
  </si>
  <si>
    <t xml:space="preserve">The change process works without them at first</t>
  </si>
  <si>
    <t xml:space="preserve">A040, A041</t>
  </si>
  <si>
    <t xml:space="preserve">Roles and periods recorded</t>
  </si>
  <si>
    <t xml:space="preserve">Agree change approvers and notice</t>
  </si>
  <si>
    <t xml:space="preserve">RG-29</t>
  </si>
  <si>
    <t xml:space="preserve">Management cannot rely on any figure until events, tables and quality checks are in place</t>
  </si>
  <si>
    <t xml:space="preserve">A021, A043</t>
  </si>
  <si>
    <t xml:space="preserve">First report produced from governed production data</t>
  </si>
  <si>
    <t xml:space="preserve">Produce first governed report</t>
  </si>
  <si>
    <t xml:space="preserve">RG-30</t>
  </si>
  <si>
    <t xml:space="preserve">Simulated and production data separation is designed but not implemented</t>
  </si>
  <si>
    <t xml:space="preserve">Mixing simulated and production data would produce false results (rule DQ039)</t>
  </si>
  <si>
    <t xml:space="preserve">Data Analyst / Engineering</t>
  </si>
  <si>
    <t xml:space="preserve">A011</t>
  </si>
  <si>
    <t xml:space="preserve">Separate zones in place; load of simulated data into production blocked</t>
  </si>
  <si>
    <t xml:space="preserve">Implement simulated and production separation</t>
  </si>
  <si>
    <t xml:space="preserve">RG-31</t>
  </si>
  <si>
    <t xml:space="preserve">Stored derived fields, counters and consent and status fields in the supplied Users data contradict each other in places</t>
  </si>
  <si>
    <t xml:space="preserve">Metrics built on these fields would be wrong; several of the issues exist in the 'clean' sheet as well as the audit sheet</t>
  </si>
  <si>
    <t xml:space="preserve">A047, A049, A050</t>
  </si>
  <si>
    <t xml:space="preserve">Derived values computed in the analytics layer; counters and consent rules enforced and tested</t>
  </si>
  <si>
    <t xml:space="preserve">Fix derived fields, counters and consent consistency</t>
  </si>
  <si>
    <t xml:space="preserve">Total</t>
  </si>
  <si>
    <t xml:space="preserve">Level</t>
  </si>
  <si>
    <t xml:space="preserve">Meaning</t>
  </si>
  <si>
    <t xml:space="preserve">R0</t>
  </si>
  <si>
    <t xml:space="preserve">Not defined</t>
  </si>
  <si>
    <t xml:space="preserve">Designed on paper (this project)</t>
  </si>
  <si>
    <t xml:space="preserve">Designed and checked against the simulated dataset</t>
  </si>
  <si>
    <t xml:space="preserve">Verified with VELOOP engineering or product</t>
  </si>
  <si>
    <t xml:space="preserve">Implemented and monitored in production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</si>
</sst>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name val="Arial"/>
      <family val="0"/>
      <charset val="1"/>
    </font>
    <font>
      <b val="true"/>
      <sz val="10"/>
      <color rgb="FFFFFFFF"/>
      <name val="Arial"/>
      <family val="0"/>
      <charset val="1"/>
    </font>
  </fonts>
  <fills count="7">
    <fill>
      <patternFill patternType="none"/>
    </fill>
    <fill>
      <patternFill patternType="gray125"/>
    </fill>
    <fill>
      <patternFill patternType="solid">
        <fgColor rgb="FF1F3A5F"/>
        <bgColor rgb="FF333333"/>
      </patternFill>
    </fill>
    <fill>
      <patternFill patternType="solid">
        <fgColor rgb="FFF4B6B6"/>
        <bgColor rgb="FFF8CBAD"/>
      </patternFill>
    </fill>
    <fill>
      <patternFill patternType="solid">
        <fgColor rgb="FFF8CBAD"/>
        <bgColor rgb="FFF4B6B6"/>
      </patternFill>
    </fill>
    <fill>
      <patternFill patternType="solid">
        <fgColor rgb="FFFFEB9C"/>
        <bgColor rgb="FFFFFFCC"/>
      </patternFill>
    </fill>
    <fill>
      <patternFill patternType="solid">
        <fgColor rgb="FFE2EFDA"/>
        <bgColor rgb="FFFFFFCC"/>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4B6B6"/>
          <bgColor rgb="FF000000"/>
        </patternFill>
      </fill>
    </dxf>
    <dxf>
      <fill>
        <patternFill patternType="solid">
          <fgColor rgb="FFF8CBAD"/>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4B6B6"/>
      <rgbColor rgb="FFCC99FF"/>
      <rgbColor rgb="FFF8CBAD"/>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0"/>
  </cols>
  <sheetData>
    <row r="1" customFormat="false" ht="15" hidden="false" customHeight="false" outlineLevel="0" collapsed="false">
      <c r="A1" s="1" t="s">
        <v>0</v>
      </c>
    </row>
    <row r="2" customFormat="false" ht="35.0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3"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1" customFormat="false" ht="15" hidden="false" customHeight="false" outlineLevel="0" collapsed="false">
      <c r="A11" s="4" t="s">
        <v>8</v>
      </c>
    </row>
    <row r="12" customFormat="false" ht="15" hidden="false" customHeight="false" outlineLevel="0" collapsed="false">
      <c r="A12" s="5" t="s">
        <v>9</v>
      </c>
      <c r="B12" s="5" t="n">
        <f aca="false">COUNTA(Scorecard!A:A)-1</f>
        <v>10</v>
      </c>
    </row>
    <row r="13" customFormat="false" ht="15" hidden="false" customHeight="false" outlineLevel="0" collapsed="false">
      <c r="A13" s="5" t="s">
        <v>10</v>
      </c>
      <c r="B13" s="5" t="n">
        <f aca="false">COUNTA(Gaps!A:A)-1</f>
        <v>31</v>
      </c>
    </row>
    <row r="14" customFormat="false" ht="15" hidden="false" customHeight="false" outlineLevel="0" collapsed="false">
      <c r="A14" s="5" t="s">
        <v>11</v>
      </c>
      <c r="B14" s="5" t="n">
        <f aca="false">COUNTIF(Gaps!D:D,"Critical")</f>
        <v>3</v>
      </c>
    </row>
    <row r="15" customFormat="false" ht="15" hidden="false" customHeight="false" outlineLevel="0" collapsed="false">
      <c r="A15" s="5" t="s">
        <v>12</v>
      </c>
      <c r="B15" s="5" t="n">
        <f aca="false">COUNTIF(Gaps!D:D,"High")</f>
        <v>15</v>
      </c>
    </row>
    <row r="16" customFormat="false" ht="15" hidden="false" customHeight="false" outlineLevel="0" collapsed="false">
      <c r="A16" s="5" t="s">
        <v>13</v>
      </c>
      <c r="B16" s="5" t="n">
        <f aca="false">COUNTIF(Scorecard!E:E,"R3")+COUNTIF(Scorecard!E:E,"R4")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8"/>
    <col collapsed="false" customWidth="true" hidden="false" outlineLevel="0" max="3" min="3" style="0" width="40"/>
    <col collapsed="false" customWidth="true" hidden="false" outlineLevel="0" max="4" min="4" style="0" width="54"/>
    <col collapsed="false" customWidth="true" hidden="false" outlineLevel="0" max="5" min="5" style="0" width="10"/>
    <col collapsed="false" customWidth="true" hidden="false" outlineLevel="0" max="6" min="6" style="0" width="16"/>
    <col collapsed="false" customWidth="true" hidden="false" outlineLevel="0" max="7" min="7" style="0" width="10"/>
    <col collapsed="false" customWidth="true" hidden="false" outlineLevel="0" max="8" min="8" style="0" width="12"/>
    <col collapsed="false" customWidth="true" hidden="false" outlineLevel="0" max="9" min="9" style="0" width="50"/>
  </cols>
  <sheetData>
    <row r="1" customFormat="false" ht="35.05" hidden="false" customHeight="false" outlineLevel="0" collapsed="false">
      <c r="A1" s="6" t="s">
        <v>14</v>
      </c>
      <c r="B1" s="6" t="s">
        <v>15</v>
      </c>
      <c r="C1" s="6" t="s">
        <v>16</v>
      </c>
      <c r="D1" s="6" t="s">
        <v>17</v>
      </c>
      <c r="E1" s="6" t="s">
        <v>18</v>
      </c>
      <c r="F1" s="6" t="s">
        <v>19</v>
      </c>
      <c r="G1" s="6" t="s">
        <v>20</v>
      </c>
      <c r="H1" s="6" t="s">
        <v>21</v>
      </c>
      <c r="I1" s="6" t="s">
        <v>22</v>
      </c>
    </row>
    <row r="2" customFormat="false" ht="35.05" hidden="false" customHeight="false" outlineLevel="0" collapsed="false">
      <c r="A2" s="7" t="s">
        <v>23</v>
      </c>
      <c r="B2" s="7" t="s">
        <v>24</v>
      </c>
      <c r="C2" s="7" t="s">
        <v>25</v>
      </c>
      <c r="D2" s="7" t="s">
        <v>26</v>
      </c>
      <c r="E2" s="7" t="s">
        <v>27</v>
      </c>
      <c r="F2" s="7" t="s">
        <v>28</v>
      </c>
      <c r="G2" s="7" t="n">
        <f aca="false">VALUE(RIGHT(F2,1))-VALUE(RIGHT(E2,1))</f>
        <v>3</v>
      </c>
      <c r="H2" s="8" t="s">
        <v>29</v>
      </c>
      <c r="I2" s="7" t="s">
        <v>30</v>
      </c>
    </row>
    <row r="3" customFormat="false" ht="23.85" hidden="false" customHeight="false" outlineLevel="0" collapsed="false">
      <c r="A3" s="7" t="s">
        <v>31</v>
      </c>
      <c r="B3" s="7" t="s">
        <v>32</v>
      </c>
      <c r="C3" s="7" t="s">
        <v>33</v>
      </c>
      <c r="D3" s="7" t="s">
        <v>34</v>
      </c>
      <c r="E3" s="7" t="s">
        <v>27</v>
      </c>
      <c r="F3" s="7" t="s">
        <v>28</v>
      </c>
      <c r="G3" s="7" t="n">
        <f aca="false">VALUE(RIGHT(F3,1))-VALUE(RIGHT(E3,1))</f>
        <v>3</v>
      </c>
      <c r="H3" s="8" t="s">
        <v>29</v>
      </c>
      <c r="I3" s="7" t="s">
        <v>35</v>
      </c>
    </row>
    <row r="4" customFormat="false" ht="35.05" hidden="false" customHeight="false" outlineLevel="0" collapsed="false">
      <c r="A4" s="7" t="s">
        <v>36</v>
      </c>
      <c r="B4" s="7" t="s">
        <v>37</v>
      </c>
      <c r="C4" s="7" t="s">
        <v>38</v>
      </c>
      <c r="D4" s="7" t="s">
        <v>39</v>
      </c>
      <c r="E4" s="7" t="s">
        <v>40</v>
      </c>
      <c r="F4" s="7" t="s">
        <v>41</v>
      </c>
      <c r="G4" s="7" t="n">
        <f aca="false">VALUE(RIGHT(F4,1))-VALUE(RIGHT(E4,1))</f>
        <v>1</v>
      </c>
      <c r="H4" s="9" t="s">
        <v>42</v>
      </c>
      <c r="I4" s="7" t="s">
        <v>43</v>
      </c>
    </row>
    <row r="5" customFormat="false" ht="35.05" hidden="false" customHeight="false" outlineLevel="0" collapsed="false">
      <c r="A5" s="7" t="s">
        <v>44</v>
      </c>
      <c r="B5" s="7" t="s">
        <v>45</v>
      </c>
      <c r="C5" s="7" t="s">
        <v>46</v>
      </c>
      <c r="D5" s="7" t="s">
        <v>47</v>
      </c>
      <c r="E5" s="7" t="s">
        <v>40</v>
      </c>
      <c r="F5" s="7" t="s">
        <v>41</v>
      </c>
      <c r="G5" s="7" t="n">
        <f aca="false">VALUE(RIGHT(F5,1))-VALUE(RIGHT(E5,1))</f>
        <v>1</v>
      </c>
      <c r="H5" s="9" t="s">
        <v>42</v>
      </c>
      <c r="I5" s="7" t="s">
        <v>48</v>
      </c>
    </row>
    <row r="6" customFormat="false" ht="23.85" hidden="false" customHeight="false" outlineLevel="0" collapsed="false">
      <c r="A6" s="7" t="s">
        <v>49</v>
      </c>
      <c r="B6" s="7" t="s">
        <v>50</v>
      </c>
      <c r="C6" s="7" t="s">
        <v>51</v>
      </c>
      <c r="D6" s="7" t="s">
        <v>52</v>
      </c>
      <c r="E6" s="7" t="s">
        <v>40</v>
      </c>
      <c r="F6" s="7" t="s">
        <v>28</v>
      </c>
      <c r="G6" s="7" t="n">
        <f aca="false">VALUE(RIGHT(F6,1))-VALUE(RIGHT(E6,1))</f>
        <v>2</v>
      </c>
      <c r="H6" s="9" t="s">
        <v>42</v>
      </c>
      <c r="I6" s="7" t="s">
        <v>53</v>
      </c>
    </row>
    <row r="7" customFormat="false" ht="23.85" hidden="false" customHeight="false" outlineLevel="0" collapsed="false">
      <c r="A7" s="7" t="s">
        <v>54</v>
      </c>
      <c r="B7" s="7" t="s">
        <v>55</v>
      </c>
      <c r="C7" s="7" t="s">
        <v>56</v>
      </c>
      <c r="D7" s="7" t="s">
        <v>57</v>
      </c>
      <c r="E7" s="7" t="s">
        <v>27</v>
      </c>
      <c r="F7" s="7" t="s">
        <v>28</v>
      </c>
      <c r="G7" s="7" t="n">
        <f aca="false">VALUE(RIGHT(F7,1))-VALUE(RIGHT(E7,1))</f>
        <v>3</v>
      </c>
      <c r="H7" s="10" t="s">
        <v>58</v>
      </c>
      <c r="I7" s="7" t="s">
        <v>59</v>
      </c>
    </row>
    <row r="8" customFormat="false" ht="35.05" hidden="false" customHeight="false" outlineLevel="0" collapsed="false">
      <c r="A8" s="7" t="s">
        <v>60</v>
      </c>
      <c r="B8" s="7" t="s">
        <v>61</v>
      </c>
      <c r="C8" s="7" t="s">
        <v>62</v>
      </c>
      <c r="D8" s="7" t="s">
        <v>63</v>
      </c>
      <c r="E8" s="7" t="s">
        <v>27</v>
      </c>
      <c r="F8" s="7" t="s">
        <v>28</v>
      </c>
      <c r="G8" s="7" t="n">
        <f aca="false">VALUE(RIGHT(F8,1))-VALUE(RIGHT(E8,1))</f>
        <v>3</v>
      </c>
      <c r="H8" s="8" t="s">
        <v>29</v>
      </c>
      <c r="I8" s="7" t="s">
        <v>64</v>
      </c>
    </row>
    <row r="9" customFormat="false" ht="23.85" hidden="false" customHeight="false" outlineLevel="0" collapsed="false">
      <c r="A9" s="7" t="s">
        <v>65</v>
      </c>
      <c r="B9" s="7" t="s">
        <v>66</v>
      </c>
      <c r="C9" s="7" t="s">
        <v>67</v>
      </c>
      <c r="D9" s="7" t="s">
        <v>68</v>
      </c>
      <c r="E9" s="7" t="s">
        <v>27</v>
      </c>
      <c r="F9" s="7" t="s">
        <v>28</v>
      </c>
      <c r="G9" s="7" t="n">
        <f aca="false">VALUE(RIGHT(F9,1))-VALUE(RIGHT(E9,1))</f>
        <v>3</v>
      </c>
      <c r="H9" s="9" t="s">
        <v>42</v>
      </c>
      <c r="I9" s="7" t="s">
        <v>69</v>
      </c>
    </row>
    <row r="10" customFormat="false" ht="23.85" hidden="false" customHeight="false" outlineLevel="0" collapsed="false">
      <c r="A10" s="7" t="s">
        <v>70</v>
      </c>
      <c r="B10" s="7" t="s">
        <v>71</v>
      </c>
      <c r="C10" s="7" t="s">
        <v>72</v>
      </c>
      <c r="D10" s="7" t="s">
        <v>73</v>
      </c>
      <c r="E10" s="7" t="s">
        <v>27</v>
      </c>
      <c r="F10" s="7" t="s">
        <v>41</v>
      </c>
      <c r="G10" s="7" t="n">
        <f aca="false">VALUE(RIGHT(F10,1))-VALUE(RIGHT(E10,1))</f>
        <v>2</v>
      </c>
      <c r="H10" s="10" t="s">
        <v>58</v>
      </c>
      <c r="I10" s="7" t="s">
        <v>74</v>
      </c>
    </row>
    <row r="11" customFormat="false" ht="23.85" hidden="false" customHeight="false" outlineLevel="0" collapsed="false">
      <c r="A11" s="7" t="s">
        <v>75</v>
      </c>
      <c r="B11" s="7" t="s">
        <v>76</v>
      </c>
      <c r="C11" s="7" t="s">
        <v>77</v>
      </c>
      <c r="D11" s="7" t="s">
        <v>78</v>
      </c>
      <c r="E11" s="7" t="s">
        <v>27</v>
      </c>
      <c r="F11" s="7" t="s">
        <v>28</v>
      </c>
      <c r="G11" s="7" t="n">
        <f aca="false">VALUE(RIGHT(F11,1))-VALUE(RIGHT(E11,1))</f>
        <v>3</v>
      </c>
      <c r="H11" s="9" t="s">
        <v>42</v>
      </c>
      <c r="I11" s="7"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56"/>
    <col collapsed="false" customWidth="true" hidden="false" outlineLevel="0" max="4" min="4" style="0" width="10"/>
    <col collapsed="false" customWidth="true" hidden="false" outlineLevel="0" max="5" min="5" style="0" width="56"/>
    <col collapsed="false" customWidth="true" hidden="false" outlineLevel="0" max="6" min="6" style="0" width="22"/>
    <col collapsed="false" customWidth="true" hidden="false" outlineLevel="0" max="7" min="7" style="0" width="18"/>
    <col collapsed="false" customWidth="true" hidden="false" outlineLevel="0" max="8" min="8" style="0" width="12"/>
    <col collapsed="false" customWidth="true" hidden="false" outlineLevel="0" max="9" min="9" style="0" width="24"/>
    <col collapsed="false" customWidth="true" hidden="false" outlineLevel="0" max="10" min="10" style="0" width="50"/>
    <col collapsed="false" customWidth="true" hidden="false" outlineLevel="0" max="11" min="11" style="0" width="38"/>
  </cols>
  <sheetData>
    <row r="1" customFormat="false" ht="23.85" hidden="false" customHeight="false" outlineLevel="0" collapsed="false">
      <c r="A1" s="6" t="s">
        <v>80</v>
      </c>
      <c r="B1" s="6" t="s">
        <v>14</v>
      </c>
      <c r="C1" s="6" t="s">
        <v>81</v>
      </c>
      <c r="D1" s="6" t="s">
        <v>82</v>
      </c>
      <c r="E1" s="6" t="s">
        <v>22</v>
      </c>
      <c r="F1" s="6" t="s">
        <v>83</v>
      </c>
      <c r="G1" s="6" t="s">
        <v>84</v>
      </c>
      <c r="H1" s="6" t="s">
        <v>85</v>
      </c>
      <c r="I1" s="6" t="s">
        <v>86</v>
      </c>
      <c r="J1" s="6" t="s">
        <v>87</v>
      </c>
      <c r="K1" s="6" t="s">
        <v>88</v>
      </c>
    </row>
    <row r="2" customFormat="false" ht="23.85" hidden="false" customHeight="false" outlineLevel="0" collapsed="false">
      <c r="A2" s="7" t="s">
        <v>89</v>
      </c>
      <c r="B2" s="7" t="s">
        <v>23</v>
      </c>
      <c r="C2" s="7" t="s">
        <v>90</v>
      </c>
      <c r="D2" s="8" t="s">
        <v>29</v>
      </c>
      <c r="E2" s="7" t="s">
        <v>91</v>
      </c>
      <c r="F2" s="7" t="s">
        <v>92</v>
      </c>
      <c r="G2" s="7" t="s">
        <v>93</v>
      </c>
      <c r="H2" s="7" t="s">
        <v>94</v>
      </c>
      <c r="I2" s="7" t="s">
        <v>95</v>
      </c>
      <c r="J2" s="7" t="s">
        <v>96</v>
      </c>
      <c r="K2" s="7" t="s">
        <v>97</v>
      </c>
    </row>
    <row r="3" customFormat="false" ht="23.85" hidden="false" customHeight="false" outlineLevel="0" collapsed="false">
      <c r="A3" s="7" t="s">
        <v>98</v>
      </c>
      <c r="B3" s="7" t="s">
        <v>23</v>
      </c>
      <c r="C3" s="7" t="s">
        <v>99</v>
      </c>
      <c r="D3" s="9" t="s">
        <v>42</v>
      </c>
      <c r="E3" s="7" t="s">
        <v>100</v>
      </c>
      <c r="F3" s="7" t="s">
        <v>92</v>
      </c>
      <c r="G3" s="7" t="s">
        <v>101</v>
      </c>
      <c r="H3" s="7" t="s">
        <v>102</v>
      </c>
      <c r="I3" s="7" t="s">
        <v>95</v>
      </c>
      <c r="J3" s="7" t="s">
        <v>103</v>
      </c>
      <c r="K3" s="7" t="s">
        <v>104</v>
      </c>
    </row>
    <row r="4" customFormat="false" ht="23.85" hidden="false" customHeight="false" outlineLevel="0" collapsed="false">
      <c r="A4" s="7" t="s">
        <v>105</v>
      </c>
      <c r="B4" s="7" t="s">
        <v>23</v>
      </c>
      <c r="C4" s="7" t="s">
        <v>106</v>
      </c>
      <c r="D4" s="10" t="s">
        <v>58</v>
      </c>
      <c r="E4" s="7" t="s">
        <v>107</v>
      </c>
      <c r="F4" s="7" t="s">
        <v>108</v>
      </c>
      <c r="G4" s="7" t="s">
        <v>109</v>
      </c>
      <c r="H4" s="7" t="s">
        <v>102</v>
      </c>
      <c r="I4" s="7" t="s">
        <v>110</v>
      </c>
      <c r="J4" s="7" t="s">
        <v>111</v>
      </c>
      <c r="K4" s="7" t="s">
        <v>112</v>
      </c>
    </row>
    <row r="5" customFormat="false" ht="23.85" hidden="false" customHeight="false" outlineLevel="0" collapsed="false">
      <c r="A5" s="7" t="s">
        <v>113</v>
      </c>
      <c r="B5" s="7" t="s">
        <v>31</v>
      </c>
      <c r="C5" s="7" t="s">
        <v>114</v>
      </c>
      <c r="D5" s="8" t="s">
        <v>29</v>
      </c>
      <c r="E5" s="7" t="s">
        <v>115</v>
      </c>
      <c r="F5" s="7" t="s">
        <v>92</v>
      </c>
      <c r="G5" s="7" t="s">
        <v>116</v>
      </c>
      <c r="H5" s="7" t="s">
        <v>117</v>
      </c>
      <c r="I5" s="7" t="s">
        <v>95</v>
      </c>
      <c r="J5" s="7" t="s">
        <v>118</v>
      </c>
      <c r="K5" s="7" t="s">
        <v>119</v>
      </c>
    </row>
    <row r="6" customFormat="false" ht="23.85" hidden="false" customHeight="false" outlineLevel="0" collapsed="false">
      <c r="A6" s="7" t="s">
        <v>120</v>
      </c>
      <c r="B6" s="7" t="s">
        <v>31</v>
      </c>
      <c r="C6" s="7" t="s">
        <v>121</v>
      </c>
      <c r="D6" s="9" t="s">
        <v>42</v>
      </c>
      <c r="E6" s="7" t="s">
        <v>122</v>
      </c>
      <c r="F6" s="7" t="s">
        <v>92</v>
      </c>
      <c r="G6" s="7" t="s">
        <v>123</v>
      </c>
      <c r="H6" s="7" t="s">
        <v>124</v>
      </c>
      <c r="I6" s="7" t="s">
        <v>95</v>
      </c>
      <c r="J6" s="7" t="s">
        <v>125</v>
      </c>
      <c r="K6" s="7" t="s">
        <v>126</v>
      </c>
    </row>
    <row r="7" customFormat="false" ht="23.85" hidden="false" customHeight="false" outlineLevel="0" collapsed="false">
      <c r="A7" s="7" t="s">
        <v>127</v>
      </c>
      <c r="B7" s="7" t="s">
        <v>31</v>
      </c>
      <c r="C7" s="7" t="s">
        <v>128</v>
      </c>
      <c r="D7" s="10" t="s">
        <v>58</v>
      </c>
      <c r="E7" s="7" t="s">
        <v>129</v>
      </c>
      <c r="F7" s="7" t="s">
        <v>108</v>
      </c>
      <c r="G7" s="7" t="s">
        <v>130</v>
      </c>
      <c r="H7" s="7" t="s">
        <v>102</v>
      </c>
      <c r="I7" s="7" t="s">
        <v>95</v>
      </c>
      <c r="J7" s="7" t="s">
        <v>131</v>
      </c>
      <c r="K7" s="7" t="s">
        <v>132</v>
      </c>
    </row>
    <row r="8" customFormat="false" ht="23.85" hidden="false" customHeight="false" outlineLevel="0" collapsed="false">
      <c r="A8" s="7" t="s">
        <v>133</v>
      </c>
      <c r="B8" s="7" t="s">
        <v>36</v>
      </c>
      <c r="C8" s="7" t="s">
        <v>134</v>
      </c>
      <c r="D8" s="9" t="s">
        <v>42</v>
      </c>
      <c r="E8" s="7" t="s">
        <v>135</v>
      </c>
      <c r="F8" s="7" t="s">
        <v>136</v>
      </c>
      <c r="G8" s="7" t="s">
        <v>137</v>
      </c>
      <c r="H8" s="7" t="s">
        <v>102</v>
      </c>
      <c r="I8" s="7" t="s">
        <v>95</v>
      </c>
      <c r="J8" s="7" t="s">
        <v>138</v>
      </c>
      <c r="K8" s="7" t="s">
        <v>139</v>
      </c>
    </row>
    <row r="9" customFormat="false" ht="15" hidden="false" customHeight="false" outlineLevel="0" collapsed="false">
      <c r="A9" s="7" t="s">
        <v>140</v>
      </c>
      <c r="B9" s="7" t="s">
        <v>36</v>
      </c>
      <c r="C9" s="7" t="s">
        <v>141</v>
      </c>
      <c r="D9" s="11" t="s">
        <v>142</v>
      </c>
      <c r="E9" s="7" t="s">
        <v>143</v>
      </c>
      <c r="F9" s="7" t="s">
        <v>92</v>
      </c>
      <c r="G9" s="7" t="s">
        <v>144</v>
      </c>
      <c r="H9" s="7" t="s">
        <v>102</v>
      </c>
      <c r="I9" s="7" t="s">
        <v>110</v>
      </c>
      <c r="J9" s="7" t="s">
        <v>145</v>
      </c>
      <c r="K9" s="7" t="s">
        <v>146</v>
      </c>
    </row>
    <row r="10" customFormat="false" ht="23.85" hidden="false" customHeight="false" outlineLevel="0" collapsed="false">
      <c r="A10" s="7" t="s">
        <v>147</v>
      </c>
      <c r="B10" s="7" t="s">
        <v>44</v>
      </c>
      <c r="C10" s="7" t="s">
        <v>148</v>
      </c>
      <c r="D10" s="9" t="s">
        <v>42</v>
      </c>
      <c r="E10" s="7" t="s">
        <v>149</v>
      </c>
      <c r="F10" s="7" t="s">
        <v>150</v>
      </c>
      <c r="G10" s="7" t="s">
        <v>151</v>
      </c>
      <c r="H10" s="7" t="s">
        <v>102</v>
      </c>
      <c r="I10" s="7" t="s">
        <v>152</v>
      </c>
      <c r="J10" s="7" t="s">
        <v>153</v>
      </c>
      <c r="K10" s="7" t="s">
        <v>154</v>
      </c>
    </row>
    <row r="11" customFormat="false" ht="23.85" hidden="false" customHeight="false" outlineLevel="0" collapsed="false">
      <c r="A11" s="7" t="s">
        <v>155</v>
      </c>
      <c r="B11" s="7" t="s">
        <v>44</v>
      </c>
      <c r="C11" s="7" t="s">
        <v>156</v>
      </c>
      <c r="D11" s="9" t="s">
        <v>42</v>
      </c>
      <c r="E11" s="7" t="s">
        <v>157</v>
      </c>
      <c r="F11" s="7" t="s">
        <v>150</v>
      </c>
      <c r="G11" s="7" t="s">
        <v>158</v>
      </c>
      <c r="H11" s="7" t="s">
        <v>159</v>
      </c>
      <c r="I11" s="7" t="s">
        <v>152</v>
      </c>
      <c r="J11" s="7" t="s">
        <v>160</v>
      </c>
      <c r="K11" s="7" t="s">
        <v>161</v>
      </c>
    </row>
    <row r="12" customFormat="false" ht="15" hidden="false" customHeight="false" outlineLevel="0" collapsed="false">
      <c r="A12" s="7" t="s">
        <v>162</v>
      </c>
      <c r="B12" s="7" t="s">
        <v>44</v>
      </c>
      <c r="C12" s="7" t="s">
        <v>163</v>
      </c>
      <c r="D12" s="10" t="s">
        <v>58</v>
      </c>
      <c r="E12" s="7" t="s">
        <v>164</v>
      </c>
      <c r="F12" s="7" t="s">
        <v>136</v>
      </c>
      <c r="G12" s="7" t="s">
        <v>165</v>
      </c>
      <c r="H12" s="7" t="s">
        <v>166</v>
      </c>
      <c r="I12" s="7" t="s">
        <v>95</v>
      </c>
      <c r="J12" s="7" t="s">
        <v>167</v>
      </c>
      <c r="K12" s="7" t="s">
        <v>168</v>
      </c>
    </row>
    <row r="13" customFormat="false" ht="15" hidden="false" customHeight="false" outlineLevel="0" collapsed="false">
      <c r="A13" s="7" t="s">
        <v>169</v>
      </c>
      <c r="B13" s="7" t="s">
        <v>44</v>
      </c>
      <c r="C13" s="7" t="s">
        <v>170</v>
      </c>
      <c r="D13" s="9" t="s">
        <v>42</v>
      </c>
      <c r="E13" s="7" t="s">
        <v>171</v>
      </c>
      <c r="F13" s="7" t="s">
        <v>172</v>
      </c>
      <c r="G13" s="7" t="s">
        <v>173</v>
      </c>
      <c r="H13" s="7" t="s">
        <v>174</v>
      </c>
      <c r="I13" s="7" t="s">
        <v>95</v>
      </c>
      <c r="J13" s="7" t="s">
        <v>175</v>
      </c>
      <c r="K13" s="7" t="s">
        <v>176</v>
      </c>
    </row>
    <row r="14" customFormat="false" ht="35.05" hidden="false" customHeight="false" outlineLevel="0" collapsed="false">
      <c r="A14" s="7" t="s">
        <v>177</v>
      </c>
      <c r="B14" s="7" t="s">
        <v>49</v>
      </c>
      <c r="C14" s="7" t="s">
        <v>178</v>
      </c>
      <c r="D14" s="9" t="s">
        <v>42</v>
      </c>
      <c r="E14" s="7" t="s">
        <v>179</v>
      </c>
      <c r="F14" s="7" t="s">
        <v>180</v>
      </c>
      <c r="G14" s="7" t="s">
        <v>181</v>
      </c>
      <c r="H14" s="7" t="s">
        <v>102</v>
      </c>
      <c r="I14" s="7" t="s">
        <v>95</v>
      </c>
      <c r="J14" s="7" t="s">
        <v>182</v>
      </c>
      <c r="K14" s="7" t="s">
        <v>183</v>
      </c>
    </row>
    <row r="15" customFormat="false" ht="23.85" hidden="false" customHeight="false" outlineLevel="0" collapsed="false">
      <c r="A15" s="7" t="s">
        <v>184</v>
      </c>
      <c r="B15" s="7" t="s">
        <v>49</v>
      </c>
      <c r="C15" s="7" t="s">
        <v>185</v>
      </c>
      <c r="D15" s="10" t="s">
        <v>58</v>
      </c>
      <c r="E15" s="7" t="s">
        <v>186</v>
      </c>
      <c r="F15" s="7" t="s">
        <v>187</v>
      </c>
      <c r="G15" s="7" t="s">
        <v>188</v>
      </c>
      <c r="H15" s="7" t="s">
        <v>102</v>
      </c>
      <c r="I15" s="7" t="s">
        <v>95</v>
      </c>
      <c r="J15" s="7" t="s">
        <v>189</v>
      </c>
      <c r="K15" s="7" t="s">
        <v>190</v>
      </c>
    </row>
    <row r="16" customFormat="false" ht="15" hidden="false" customHeight="false" outlineLevel="0" collapsed="false">
      <c r="A16" s="7" t="s">
        <v>191</v>
      </c>
      <c r="B16" s="7" t="s">
        <v>49</v>
      </c>
      <c r="C16" s="7" t="s">
        <v>192</v>
      </c>
      <c r="D16" s="10" t="s">
        <v>58</v>
      </c>
      <c r="E16" s="7" t="s">
        <v>193</v>
      </c>
      <c r="F16" s="7" t="s">
        <v>194</v>
      </c>
      <c r="G16" s="7" t="s">
        <v>195</v>
      </c>
      <c r="H16" s="7" t="s">
        <v>102</v>
      </c>
      <c r="I16" s="7" t="s">
        <v>95</v>
      </c>
      <c r="J16" s="7" t="s">
        <v>196</v>
      </c>
      <c r="K16" s="7" t="s">
        <v>197</v>
      </c>
    </row>
    <row r="17" customFormat="false" ht="23.85" hidden="false" customHeight="false" outlineLevel="0" collapsed="false">
      <c r="A17" s="7" t="s">
        <v>198</v>
      </c>
      <c r="B17" s="7" t="s">
        <v>54</v>
      </c>
      <c r="C17" s="7" t="s">
        <v>199</v>
      </c>
      <c r="D17" s="9" t="s">
        <v>42</v>
      </c>
      <c r="E17" s="7" t="s">
        <v>200</v>
      </c>
      <c r="F17" s="7" t="s">
        <v>108</v>
      </c>
      <c r="G17" s="7" t="s">
        <v>101</v>
      </c>
      <c r="H17" s="7" t="s">
        <v>102</v>
      </c>
      <c r="I17" s="7" t="s">
        <v>110</v>
      </c>
      <c r="J17" s="7" t="s">
        <v>201</v>
      </c>
      <c r="K17" s="7" t="s">
        <v>202</v>
      </c>
    </row>
    <row r="18" customFormat="false" ht="15" hidden="false" customHeight="false" outlineLevel="0" collapsed="false">
      <c r="A18" s="7" t="s">
        <v>203</v>
      </c>
      <c r="B18" s="7" t="s">
        <v>54</v>
      </c>
      <c r="C18" s="7" t="s">
        <v>204</v>
      </c>
      <c r="D18" s="10" t="s">
        <v>58</v>
      </c>
      <c r="E18" s="7" t="s">
        <v>205</v>
      </c>
      <c r="F18" s="7" t="s">
        <v>206</v>
      </c>
      <c r="G18" s="7" t="s">
        <v>207</v>
      </c>
      <c r="H18" s="7" t="s">
        <v>102</v>
      </c>
      <c r="I18" s="7" t="s">
        <v>95</v>
      </c>
      <c r="J18" s="7" t="s">
        <v>208</v>
      </c>
      <c r="K18" s="7" t="s">
        <v>209</v>
      </c>
    </row>
    <row r="19" customFormat="false" ht="23.85" hidden="false" customHeight="false" outlineLevel="0" collapsed="false">
      <c r="A19" s="7" t="s">
        <v>210</v>
      </c>
      <c r="B19" s="7" t="s">
        <v>54</v>
      </c>
      <c r="C19" s="7" t="s">
        <v>211</v>
      </c>
      <c r="D19" s="10" t="s">
        <v>58</v>
      </c>
      <c r="E19" s="7" t="s">
        <v>212</v>
      </c>
      <c r="F19" s="7" t="s">
        <v>108</v>
      </c>
      <c r="G19" s="7" t="s">
        <v>213</v>
      </c>
      <c r="H19" s="7" t="s">
        <v>102</v>
      </c>
      <c r="I19" s="7" t="s">
        <v>214</v>
      </c>
      <c r="J19" s="7" t="s">
        <v>215</v>
      </c>
      <c r="K19" s="7" t="s">
        <v>216</v>
      </c>
    </row>
    <row r="20" customFormat="false" ht="23.85" hidden="false" customHeight="false" outlineLevel="0" collapsed="false">
      <c r="A20" s="7" t="s">
        <v>217</v>
      </c>
      <c r="B20" s="7" t="s">
        <v>60</v>
      </c>
      <c r="C20" s="7" t="s">
        <v>218</v>
      </c>
      <c r="D20" s="8" t="s">
        <v>29</v>
      </c>
      <c r="E20" s="7" t="s">
        <v>219</v>
      </c>
      <c r="F20" s="7" t="s">
        <v>92</v>
      </c>
      <c r="G20" s="7" t="s">
        <v>220</v>
      </c>
      <c r="H20" s="7" t="s">
        <v>221</v>
      </c>
      <c r="I20" s="7" t="s">
        <v>95</v>
      </c>
      <c r="J20" s="7" t="s">
        <v>222</v>
      </c>
      <c r="K20" s="7" t="s">
        <v>223</v>
      </c>
    </row>
    <row r="21" customFormat="false" ht="23.85" hidden="false" customHeight="false" outlineLevel="0" collapsed="false">
      <c r="A21" s="7" t="s">
        <v>224</v>
      </c>
      <c r="B21" s="7" t="s">
        <v>60</v>
      </c>
      <c r="C21" s="7" t="s">
        <v>225</v>
      </c>
      <c r="D21" s="9" t="s">
        <v>42</v>
      </c>
      <c r="E21" s="7" t="s">
        <v>226</v>
      </c>
      <c r="F21" s="7" t="s">
        <v>92</v>
      </c>
      <c r="G21" s="7" t="s">
        <v>227</v>
      </c>
      <c r="H21" s="7" t="s">
        <v>228</v>
      </c>
      <c r="I21" s="7" t="s">
        <v>95</v>
      </c>
      <c r="J21" s="7" t="s">
        <v>229</v>
      </c>
      <c r="K21" s="7" t="s">
        <v>230</v>
      </c>
    </row>
    <row r="22" customFormat="false" ht="23.85" hidden="false" customHeight="false" outlineLevel="0" collapsed="false">
      <c r="A22" s="7" t="s">
        <v>231</v>
      </c>
      <c r="B22" s="7" t="s">
        <v>60</v>
      </c>
      <c r="C22" s="7" t="s">
        <v>232</v>
      </c>
      <c r="D22" s="9" t="s">
        <v>42</v>
      </c>
      <c r="E22" s="7" t="s">
        <v>233</v>
      </c>
      <c r="F22" s="7" t="s">
        <v>92</v>
      </c>
      <c r="G22" s="7" t="s">
        <v>234</v>
      </c>
      <c r="H22" s="7" t="s">
        <v>235</v>
      </c>
      <c r="I22" s="7" t="s">
        <v>95</v>
      </c>
      <c r="J22" s="7" t="s">
        <v>236</v>
      </c>
      <c r="K22" s="7" t="s">
        <v>237</v>
      </c>
    </row>
    <row r="23" customFormat="false" ht="23.85" hidden="false" customHeight="false" outlineLevel="0" collapsed="false">
      <c r="A23" s="7" t="s">
        <v>238</v>
      </c>
      <c r="B23" s="7" t="s">
        <v>60</v>
      </c>
      <c r="C23" s="7" t="s">
        <v>239</v>
      </c>
      <c r="D23" s="9" t="s">
        <v>42</v>
      </c>
      <c r="E23" s="7" t="s">
        <v>240</v>
      </c>
      <c r="F23" s="7" t="s">
        <v>92</v>
      </c>
      <c r="G23" s="7" t="s">
        <v>165</v>
      </c>
      <c r="H23" s="7" t="s">
        <v>166</v>
      </c>
      <c r="I23" s="7" t="s">
        <v>95</v>
      </c>
      <c r="J23" s="7" t="s">
        <v>241</v>
      </c>
      <c r="K23" s="7" t="s">
        <v>242</v>
      </c>
    </row>
    <row r="24" customFormat="false" ht="23.85" hidden="false" customHeight="false" outlineLevel="0" collapsed="false">
      <c r="A24" s="7" t="s">
        <v>243</v>
      </c>
      <c r="B24" s="7" t="s">
        <v>60</v>
      </c>
      <c r="C24" s="7" t="s">
        <v>244</v>
      </c>
      <c r="D24" s="10" t="s">
        <v>58</v>
      </c>
      <c r="E24" s="7" t="s">
        <v>245</v>
      </c>
      <c r="F24" s="7" t="s">
        <v>92</v>
      </c>
      <c r="G24" s="7" t="s">
        <v>246</v>
      </c>
      <c r="H24" s="7" t="s">
        <v>247</v>
      </c>
      <c r="I24" s="7" t="s">
        <v>95</v>
      </c>
      <c r="J24" s="7" t="s">
        <v>248</v>
      </c>
      <c r="K24" s="7" t="s">
        <v>249</v>
      </c>
    </row>
    <row r="25" customFormat="false" ht="23.85" hidden="false" customHeight="false" outlineLevel="0" collapsed="false">
      <c r="A25" s="7" t="s">
        <v>250</v>
      </c>
      <c r="B25" s="7" t="s">
        <v>65</v>
      </c>
      <c r="C25" s="7" t="s">
        <v>251</v>
      </c>
      <c r="D25" s="9" t="s">
        <v>42</v>
      </c>
      <c r="E25" s="7" t="s">
        <v>252</v>
      </c>
      <c r="F25" s="7" t="s">
        <v>253</v>
      </c>
      <c r="G25" s="7" t="s">
        <v>254</v>
      </c>
      <c r="H25" s="7" t="s">
        <v>102</v>
      </c>
      <c r="I25" s="7" t="s">
        <v>95</v>
      </c>
      <c r="J25" s="7" t="s">
        <v>255</v>
      </c>
      <c r="K25" s="7" t="s">
        <v>256</v>
      </c>
    </row>
    <row r="26" customFormat="false" ht="23.85" hidden="false" customHeight="false" outlineLevel="0" collapsed="false">
      <c r="A26" s="7" t="s">
        <v>257</v>
      </c>
      <c r="B26" s="7" t="s">
        <v>65</v>
      </c>
      <c r="C26" s="7" t="s">
        <v>258</v>
      </c>
      <c r="D26" s="10" t="s">
        <v>58</v>
      </c>
      <c r="E26" s="7" t="s">
        <v>259</v>
      </c>
      <c r="F26" s="7" t="s">
        <v>260</v>
      </c>
      <c r="G26" s="7" t="s">
        <v>261</v>
      </c>
      <c r="H26" s="7" t="s">
        <v>102</v>
      </c>
      <c r="I26" s="7" t="s">
        <v>95</v>
      </c>
      <c r="J26" s="7" t="s">
        <v>262</v>
      </c>
      <c r="K26" s="7" t="s">
        <v>263</v>
      </c>
    </row>
    <row r="27" customFormat="false" ht="15" hidden="false" customHeight="false" outlineLevel="0" collapsed="false">
      <c r="A27" s="7" t="s">
        <v>264</v>
      </c>
      <c r="B27" s="7" t="s">
        <v>65</v>
      </c>
      <c r="C27" s="7" t="s">
        <v>265</v>
      </c>
      <c r="D27" s="11" t="s">
        <v>142</v>
      </c>
      <c r="E27" s="7" t="s">
        <v>266</v>
      </c>
      <c r="F27" s="7" t="s">
        <v>150</v>
      </c>
      <c r="G27" s="7" t="s">
        <v>267</v>
      </c>
      <c r="H27" s="7" t="s">
        <v>102</v>
      </c>
      <c r="I27" s="7" t="s">
        <v>110</v>
      </c>
      <c r="J27" s="7" t="s">
        <v>268</v>
      </c>
      <c r="K27" s="7" t="s">
        <v>269</v>
      </c>
    </row>
    <row r="28" customFormat="false" ht="23.85" hidden="false" customHeight="false" outlineLevel="0" collapsed="false">
      <c r="A28" s="7" t="s">
        <v>270</v>
      </c>
      <c r="B28" s="7" t="s">
        <v>70</v>
      </c>
      <c r="C28" s="7" t="s">
        <v>271</v>
      </c>
      <c r="D28" s="10" t="s">
        <v>58</v>
      </c>
      <c r="E28" s="7" t="s">
        <v>74</v>
      </c>
      <c r="F28" s="7" t="s">
        <v>108</v>
      </c>
      <c r="G28" s="7" t="s">
        <v>272</v>
      </c>
      <c r="H28" s="7" t="s">
        <v>102</v>
      </c>
      <c r="I28" s="7" t="s">
        <v>95</v>
      </c>
      <c r="J28" s="7" t="s">
        <v>273</v>
      </c>
      <c r="K28" s="7" t="s">
        <v>274</v>
      </c>
    </row>
    <row r="29" customFormat="false" ht="15" hidden="false" customHeight="false" outlineLevel="0" collapsed="false">
      <c r="A29" s="7" t="s">
        <v>275</v>
      </c>
      <c r="B29" s="7" t="s">
        <v>70</v>
      </c>
      <c r="C29" s="7" t="s">
        <v>276</v>
      </c>
      <c r="D29" s="11" t="s">
        <v>142</v>
      </c>
      <c r="E29" s="7" t="s">
        <v>277</v>
      </c>
      <c r="F29" s="7" t="s">
        <v>150</v>
      </c>
      <c r="G29" s="7" t="s">
        <v>278</v>
      </c>
      <c r="H29" s="7" t="s">
        <v>102</v>
      </c>
      <c r="I29" s="7" t="s">
        <v>110</v>
      </c>
      <c r="J29" s="7" t="s">
        <v>279</v>
      </c>
      <c r="K29" s="7" t="s">
        <v>280</v>
      </c>
    </row>
    <row r="30" customFormat="false" ht="23.85" hidden="false" customHeight="false" outlineLevel="0" collapsed="false">
      <c r="A30" s="7" t="s">
        <v>281</v>
      </c>
      <c r="B30" s="7" t="s">
        <v>75</v>
      </c>
      <c r="C30" s="7" t="s">
        <v>77</v>
      </c>
      <c r="D30" s="9" t="s">
        <v>42</v>
      </c>
      <c r="E30" s="7" t="s">
        <v>282</v>
      </c>
      <c r="F30" s="7" t="s">
        <v>194</v>
      </c>
      <c r="G30" s="7" t="s">
        <v>283</v>
      </c>
      <c r="H30" s="7" t="s">
        <v>102</v>
      </c>
      <c r="I30" s="7" t="s">
        <v>110</v>
      </c>
      <c r="J30" s="7" t="s">
        <v>284</v>
      </c>
      <c r="K30" s="7" t="s">
        <v>285</v>
      </c>
    </row>
    <row r="31" customFormat="false" ht="23.85" hidden="false" customHeight="false" outlineLevel="0" collapsed="false">
      <c r="A31" s="7" t="s">
        <v>286</v>
      </c>
      <c r="B31" s="7" t="s">
        <v>75</v>
      </c>
      <c r="C31" s="7" t="s">
        <v>287</v>
      </c>
      <c r="D31" s="9" t="s">
        <v>42</v>
      </c>
      <c r="E31" s="7" t="s">
        <v>288</v>
      </c>
      <c r="F31" s="7" t="s">
        <v>289</v>
      </c>
      <c r="G31" s="7" t="s">
        <v>290</v>
      </c>
      <c r="H31" s="7" t="s">
        <v>102</v>
      </c>
      <c r="I31" s="7" t="s">
        <v>95</v>
      </c>
      <c r="J31" s="7" t="s">
        <v>291</v>
      </c>
      <c r="K31" s="7" t="s">
        <v>292</v>
      </c>
    </row>
    <row r="32" customFormat="false" ht="23.85" hidden="false" customHeight="false" outlineLevel="0" collapsed="false">
      <c r="A32" s="7" t="s">
        <v>293</v>
      </c>
      <c r="B32" s="7" t="s">
        <v>49</v>
      </c>
      <c r="C32" s="7" t="s">
        <v>294</v>
      </c>
      <c r="D32" s="9" t="s">
        <v>42</v>
      </c>
      <c r="E32" s="7" t="s">
        <v>295</v>
      </c>
      <c r="F32" s="7" t="s">
        <v>136</v>
      </c>
      <c r="G32" s="7" t="s">
        <v>296</v>
      </c>
      <c r="H32" s="7" t="s">
        <v>102</v>
      </c>
      <c r="I32" s="7" t="s">
        <v>95</v>
      </c>
      <c r="J32" s="7" t="s">
        <v>297</v>
      </c>
      <c r="K32" s="7" t="s">
        <v>298</v>
      </c>
    </row>
  </sheetData>
  <autoFilter ref="A1:K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6" min="2" style="0" width="10"/>
  </cols>
  <sheetData>
    <row r="1" customFormat="false" ht="15" hidden="false" customHeight="false" outlineLevel="0" collapsed="false">
      <c r="A1" s="6" t="s">
        <v>14</v>
      </c>
      <c r="B1" s="6" t="s">
        <v>29</v>
      </c>
      <c r="C1" s="6" t="s">
        <v>42</v>
      </c>
      <c r="D1" s="6" t="s">
        <v>58</v>
      </c>
      <c r="E1" s="6" t="s">
        <v>142</v>
      </c>
      <c r="F1" s="6" t="s">
        <v>299</v>
      </c>
    </row>
    <row r="2" customFormat="false" ht="15" hidden="false" customHeight="false" outlineLevel="0" collapsed="false">
      <c r="A2" s="7" t="s">
        <v>23</v>
      </c>
      <c r="B2" s="7" t="n">
        <f aca="false">COUNTIFS(Gaps!B:B,A2,Gaps!D:D,"Critical")</f>
        <v>1</v>
      </c>
      <c r="C2" s="7" t="n">
        <f aca="false">COUNTIFS(Gaps!B:B,A2,Gaps!D:D,"High")</f>
        <v>1</v>
      </c>
      <c r="D2" s="7" t="n">
        <f aca="false">COUNTIFS(Gaps!B:B,A2,Gaps!D:D,"Medium")</f>
        <v>1</v>
      </c>
      <c r="E2" s="7" t="n">
        <f aca="false">COUNTIFS(Gaps!B:B,A2,Gaps!D:D,"Low")</f>
        <v>0</v>
      </c>
      <c r="F2" s="7" t="n">
        <f aca="false">SUM(B2:E2)</f>
        <v>3</v>
      </c>
    </row>
    <row r="3" customFormat="false" ht="15" hidden="false" customHeight="false" outlineLevel="0" collapsed="false">
      <c r="A3" s="7" t="s">
        <v>31</v>
      </c>
      <c r="B3" s="7" t="n">
        <f aca="false">COUNTIFS(Gaps!B:B,A3,Gaps!D:D,"Critical")</f>
        <v>1</v>
      </c>
      <c r="C3" s="7" t="n">
        <f aca="false">COUNTIFS(Gaps!B:B,A3,Gaps!D:D,"High")</f>
        <v>1</v>
      </c>
      <c r="D3" s="7" t="n">
        <f aca="false">COUNTIFS(Gaps!B:B,A3,Gaps!D:D,"Medium")</f>
        <v>1</v>
      </c>
      <c r="E3" s="7" t="n">
        <f aca="false">COUNTIFS(Gaps!B:B,A3,Gaps!D:D,"Low")</f>
        <v>0</v>
      </c>
      <c r="F3" s="7" t="n">
        <f aca="false">SUM(B3:E3)</f>
        <v>3</v>
      </c>
    </row>
    <row r="4" customFormat="false" ht="15" hidden="false" customHeight="false" outlineLevel="0" collapsed="false">
      <c r="A4" s="7" t="s">
        <v>36</v>
      </c>
      <c r="B4" s="7" t="n">
        <f aca="false">COUNTIFS(Gaps!B:B,A4,Gaps!D:D,"Critical")</f>
        <v>0</v>
      </c>
      <c r="C4" s="7" t="n">
        <f aca="false">COUNTIFS(Gaps!B:B,A4,Gaps!D:D,"High")</f>
        <v>1</v>
      </c>
      <c r="D4" s="7" t="n">
        <f aca="false">COUNTIFS(Gaps!B:B,A4,Gaps!D:D,"Medium")</f>
        <v>0</v>
      </c>
      <c r="E4" s="7" t="n">
        <f aca="false">COUNTIFS(Gaps!B:B,A4,Gaps!D:D,"Low")</f>
        <v>1</v>
      </c>
      <c r="F4" s="7" t="n">
        <f aca="false">SUM(B4:E4)</f>
        <v>2</v>
      </c>
    </row>
    <row r="5" customFormat="false" ht="15" hidden="false" customHeight="false" outlineLevel="0" collapsed="false">
      <c r="A5" s="7" t="s">
        <v>44</v>
      </c>
      <c r="B5" s="7" t="n">
        <f aca="false">COUNTIFS(Gaps!B:B,A5,Gaps!D:D,"Critical")</f>
        <v>0</v>
      </c>
      <c r="C5" s="7" t="n">
        <f aca="false">COUNTIFS(Gaps!B:B,A5,Gaps!D:D,"High")</f>
        <v>3</v>
      </c>
      <c r="D5" s="7" t="n">
        <f aca="false">COUNTIFS(Gaps!B:B,A5,Gaps!D:D,"Medium")</f>
        <v>1</v>
      </c>
      <c r="E5" s="7" t="n">
        <f aca="false">COUNTIFS(Gaps!B:B,A5,Gaps!D:D,"Low")</f>
        <v>0</v>
      </c>
      <c r="F5" s="7" t="n">
        <f aca="false">SUM(B5:E5)</f>
        <v>4</v>
      </c>
    </row>
    <row r="6" customFormat="false" ht="15" hidden="false" customHeight="false" outlineLevel="0" collapsed="false">
      <c r="A6" s="7" t="s">
        <v>49</v>
      </c>
      <c r="B6" s="7" t="n">
        <f aca="false">COUNTIFS(Gaps!B:B,A6,Gaps!D:D,"Critical")</f>
        <v>0</v>
      </c>
      <c r="C6" s="7" t="n">
        <f aca="false">COUNTIFS(Gaps!B:B,A6,Gaps!D:D,"High")</f>
        <v>2</v>
      </c>
      <c r="D6" s="7" t="n">
        <f aca="false">COUNTIFS(Gaps!B:B,A6,Gaps!D:D,"Medium")</f>
        <v>2</v>
      </c>
      <c r="E6" s="7" t="n">
        <f aca="false">COUNTIFS(Gaps!B:B,A6,Gaps!D:D,"Low")</f>
        <v>0</v>
      </c>
      <c r="F6" s="7" t="n">
        <f aca="false">SUM(B6:E6)</f>
        <v>4</v>
      </c>
    </row>
    <row r="7" customFormat="false" ht="15" hidden="false" customHeight="false" outlineLevel="0" collapsed="false">
      <c r="A7" s="7" t="s">
        <v>54</v>
      </c>
      <c r="B7" s="7" t="n">
        <f aca="false">COUNTIFS(Gaps!B:B,A7,Gaps!D:D,"Critical")</f>
        <v>0</v>
      </c>
      <c r="C7" s="7" t="n">
        <f aca="false">COUNTIFS(Gaps!B:B,A7,Gaps!D:D,"High")</f>
        <v>1</v>
      </c>
      <c r="D7" s="7" t="n">
        <f aca="false">COUNTIFS(Gaps!B:B,A7,Gaps!D:D,"Medium")</f>
        <v>2</v>
      </c>
      <c r="E7" s="7" t="n">
        <f aca="false">COUNTIFS(Gaps!B:B,A7,Gaps!D:D,"Low")</f>
        <v>0</v>
      </c>
      <c r="F7" s="7" t="n">
        <f aca="false">SUM(B7:E7)</f>
        <v>3</v>
      </c>
    </row>
    <row r="8" customFormat="false" ht="15" hidden="false" customHeight="false" outlineLevel="0" collapsed="false">
      <c r="A8" s="7" t="s">
        <v>60</v>
      </c>
      <c r="B8" s="7" t="n">
        <f aca="false">COUNTIFS(Gaps!B:B,A8,Gaps!D:D,"Critical")</f>
        <v>1</v>
      </c>
      <c r="C8" s="7" t="n">
        <f aca="false">COUNTIFS(Gaps!B:B,A8,Gaps!D:D,"High")</f>
        <v>3</v>
      </c>
      <c r="D8" s="7" t="n">
        <f aca="false">COUNTIFS(Gaps!B:B,A8,Gaps!D:D,"Medium")</f>
        <v>1</v>
      </c>
      <c r="E8" s="7" t="n">
        <f aca="false">COUNTIFS(Gaps!B:B,A8,Gaps!D:D,"Low")</f>
        <v>0</v>
      </c>
      <c r="F8" s="7" t="n">
        <f aca="false">SUM(B8:E8)</f>
        <v>5</v>
      </c>
    </row>
    <row r="9" customFormat="false" ht="15" hidden="false" customHeight="false" outlineLevel="0" collapsed="false">
      <c r="A9" s="7" t="s">
        <v>65</v>
      </c>
      <c r="B9" s="7" t="n">
        <f aca="false">COUNTIFS(Gaps!B:B,A9,Gaps!D:D,"Critical")</f>
        <v>0</v>
      </c>
      <c r="C9" s="7" t="n">
        <f aca="false">COUNTIFS(Gaps!B:B,A9,Gaps!D:D,"High")</f>
        <v>1</v>
      </c>
      <c r="D9" s="7" t="n">
        <f aca="false">COUNTIFS(Gaps!B:B,A9,Gaps!D:D,"Medium")</f>
        <v>1</v>
      </c>
      <c r="E9" s="7" t="n">
        <f aca="false">COUNTIFS(Gaps!B:B,A9,Gaps!D:D,"Low")</f>
        <v>1</v>
      </c>
      <c r="F9" s="7" t="n">
        <f aca="false">SUM(B9:E9)</f>
        <v>3</v>
      </c>
    </row>
    <row r="10" customFormat="false" ht="15" hidden="false" customHeight="false" outlineLevel="0" collapsed="false">
      <c r="A10" s="7" t="s">
        <v>70</v>
      </c>
      <c r="B10" s="7" t="n">
        <f aca="false">COUNTIFS(Gaps!B:B,A10,Gaps!D:D,"Critical")</f>
        <v>0</v>
      </c>
      <c r="C10" s="7" t="n">
        <f aca="false">COUNTIFS(Gaps!B:B,A10,Gaps!D:D,"High")</f>
        <v>0</v>
      </c>
      <c r="D10" s="7" t="n">
        <f aca="false">COUNTIFS(Gaps!B:B,A10,Gaps!D:D,"Medium")</f>
        <v>1</v>
      </c>
      <c r="E10" s="7" t="n">
        <f aca="false">COUNTIFS(Gaps!B:B,A10,Gaps!D:D,"Low")</f>
        <v>1</v>
      </c>
      <c r="F10" s="7" t="n">
        <f aca="false">SUM(B10:E10)</f>
        <v>2</v>
      </c>
    </row>
    <row r="11" customFormat="false" ht="15" hidden="false" customHeight="false" outlineLevel="0" collapsed="false">
      <c r="A11" s="7" t="s">
        <v>75</v>
      </c>
      <c r="B11" s="7" t="n">
        <f aca="false">COUNTIFS(Gaps!B:B,A11,Gaps!D:D,"Critical")</f>
        <v>0</v>
      </c>
      <c r="C11" s="7" t="n">
        <f aca="false">COUNTIFS(Gaps!B:B,A11,Gaps!D:D,"High")</f>
        <v>2</v>
      </c>
      <c r="D11" s="7" t="n">
        <f aca="false">COUNTIFS(Gaps!B:B,A11,Gaps!D:D,"Medium")</f>
        <v>0</v>
      </c>
      <c r="E11" s="7" t="n">
        <f aca="false">COUNTIFS(Gaps!B:B,A11,Gaps!D:D,"Low")</f>
        <v>0</v>
      </c>
      <c r="F11" s="7" t="n">
        <f aca="false">SUM(B11:E11)</f>
        <v>2</v>
      </c>
    </row>
    <row r="12" customFormat="false" ht="15" hidden="false" customHeight="false" outlineLevel="0" collapsed="false">
      <c r="A12" s="7" t="s">
        <v>299</v>
      </c>
      <c r="B12" s="7" t="n">
        <f aca="false">SUM(B2:B11)</f>
        <v>3</v>
      </c>
      <c r="C12" s="7" t="n">
        <f aca="false">SUM(C2:C11)</f>
        <v>15</v>
      </c>
      <c r="D12" s="7" t="n">
        <f aca="false">SUM(D2:D11)</f>
        <v>10</v>
      </c>
      <c r="E12" s="7" t="n">
        <f aca="false">SUM(E2:E11)</f>
        <v>3</v>
      </c>
      <c r="F12" s="7" t="n">
        <f aca="false">SUM(F2:F11)</f>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0"/>
  </cols>
  <sheetData>
    <row r="1" customFormat="false" ht="15" hidden="false" customHeight="false" outlineLevel="0" collapsed="false">
      <c r="A1" s="6" t="s">
        <v>300</v>
      </c>
      <c r="B1" s="6" t="s">
        <v>301</v>
      </c>
    </row>
    <row r="2" customFormat="false" ht="15" hidden="false" customHeight="false" outlineLevel="0" collapsed="false">
      <c r="A2" s="7" t="s">
        <v>302</v>
      </c>
      <c r="B2" s="7" t="s">
        <v>303</v>
      </c>
    </row>
    <row r="3" customFormat="false" ht="15" hidden="false" customHeight="false" outlineLevel="0" collapsed="false">
      <c r="A3" s="7" t="s">
        <v>27</v>
      </c>
      <c r="B3" s="7" t="s">
        <v>304</v>
      </c>
    </row>
    <row r="4" customFormat="false" ht="15" hidden="false" customHeight="false" outlineLevel="0" collapsed="false">
      <c r="A4" s="7" t="s">
        <v>40</v>
      </c>
      <c r="B4" s="7" t="s">
        <v>305</v>
      </c>
    </row>
    <row r="5" customFormat="false" ht="15" hidden="false" customHeight="false" outlineLevel="0" collapsed="false">
      <c r="A5" s="7" t="s">
        <v>41</v>
      </c>
      <c r="B5" s="7" t="s">
        <v>306</v>
      </c>
    </row>
    <row r="6" customFormat="false" ht="15" hidden="false" customHeight="false" outlineLevel="0" collapsed="false">
      <c r="A6" s="7" t="s">
        <v>28</v>
      </c>
      <c r="B6" s="7"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2026-10-14T00:40:08Z</dcterms:created>
  <dc:creator>openpyxl</dc:creator>
  <dc:description/>
  <dc:language>en-US</dc:language>
  <cp:lastModifiedBy/>
  <dcterms:modified xsi:type="dcterms:W3CDTF">2026-10-14T00:40:08Z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