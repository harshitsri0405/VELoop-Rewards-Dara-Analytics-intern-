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1_Product_Area_Map" sheetId="2" state="visible" r:id="rId4"/>
    <sheet name="A2_User_Actions" sheetId="3" state="visible" r:id="rId5"/>
    <sheet name="A3_Event_Classification" sheetId="4" state="visible" r:id="rId6"/>
    <sheet name="A4_Data_Coverage_Matrix" sheetId="5" state="visible" r:id="rId7"/>
    <sheet name="Analytics_Gaps" sheetId="6" state="visible" r:id="rId8"/>
    <sheet name="Coverage_Summary" sheetId="7" state="visible" r:id="rId9"/>
  </sheets>
  <definedNames>
    <definedName function="false" hidden="true" localSheetId="1" name="_xlnm._FilterDatabase" vbProcedure="false">A1_Product_Area_Map!$A$1:$H$21</definedName>
    <definedName function="false" hidden="true" localSheetId="2" name="_xlnm._FilterDatabase" vbProcedure="false">A2_User_Actions!$A$1:$G$30</definedName>
    <definedName function="false" hidden="true" localSheetId="3" name="_xlnm._FilterDatabase" vbProcedure="false">A3_Event_Classification!$A$1:$D$22</definedName>
    <definedName function="false" hidden="true" localSheetId="4" name="_xlnm._FilterDatabase" vbProcedure="false">A4_Data_Coverage_Matrix!$A$1:$J$43</definedName>
    <definedName function="false" hidden="true" localSheetId="5" name="_xlnm._FilterDatabase" vbProcedure="false">Analytics_Gaps!$A$1:$G$16</definedName>
    <definedName function="false" hidden="true" localSheetId="6" name="_xlnm._FilterDatabase" vbProcedure="false">Coverage_Summary!$A$1:$E$16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<sst xmlns="http://schemas.openxmlformats.org/spreadsheetml/2006/main" count="1011" uniqueCount="576">
  <si>
    <t xml:space="preserve">VELOOP REWARDS - Task 01 | Step 2: Product Data Readiness Audit (Work Package A)</t>
  </si>
  <si>
    <t xml:space="preserve">IMPORTANT: Every row here is PROPOSED or TO BE VERIFIED. No event, field or feature is claimed to exist in VELOOP. Confirmation requires engineering/product (see Assumption_Register in Step 1).</t>
  </si>
  <si>
    <t xml:space="preserve">No simulated or real VELOOP statistics appear in this workbook.</t>
  </si>
  <si>
    <t xml:space="preserve">Aligned with the Event Tracking Plan (08): same event names, sources, statuses and priorities. Sheets: Coverage_Summary | A1 product area map | A2 user action sequences | A3 user vs system vs business outcome | A4 data coverage matrix | Analytics_Gaps</t>
  </si>
  <si>
    <t xml:space="preserve">Live counts</t>
  </si>
  <si>
    <t xml:space="preserve">Product areas mapped (A1)</t>
  </si>
  <si>
    <t xml:space="preserve">Coverage matrix rows (A4)</t>
  </si>
  <si>
    <t xml:space="preserve">Distinct events in matrix (A4, rows with event name)</t>
  </si>
  <si>
    <t xml:space="preserve">Analytics gaps identified</t>
  </si>
  <si>
    <t xml:space="preserve">Gaps rated Critical</t>
  </si>
  <si>
    <t xml:space="preserve">Gaps rated High</t>
  </si>
  <si>
    <t xml:space="preserve">Matrix rows rated Critical</t>
  </si>
  <si>
    <t xml:space="preserve">ID</t>
  </si>
  <si>
    <t xml:space="preserve">Product Area</t>
  </si>
  <si>
    <t xml:space="preserve">Feature</t>
  </si>
  <si>
    <t xml:space="preserve">User Action</t>
  </si>
  <si>
    <t xml:space="preserve">System Outcome</t>
  </si>
  <si>
    <t xml:space="preserve">Data Required</t>
  </si>
  <si>
    <t xml:space="preserve">Business Question</t>
  </si>
  <si>
    <t xml:space="preserve">Status</t>
  </si>
  <si>
    <t xml:space="preserve">PA01</t>
  </si>
  <si>
    <t xml:space="preserve">Account</t>
  </si>
  <si>
    <t xml:space="preserve">Registration</t>
  </si>
  <si>
    <t xml:space="preserve">User signs up</t>
  </si>
  <si>
    <t xml:space="preserve">Account created; user_id issued</t>
  </si>
  <si>
    <t xml:space="preserve">user_id, registered_at, registration_source, platform, referral_code_used</t>
  </si>
  <si>
    <t xml:space="preserve">How many users sign up and through which source?</t>
  </si>
  <si>
    <t xml:space="preserve">To Be Verified</t>
  </si>
  <si>
    <t xml:space="preserve">PA02</t>
  </si>
  <si>
    <t xml:space="preserve">Login</t>
  </si>
  <si>
    <t xml:space="preserve">User logs in / out</t>
  </si>
  <si>
    <t xml:space="preserve">Session started or ended</t>
  </si>
  <si>
    <t xml:space="preserve">user_id, login_at, platform, session_id (proposed)</t>
  </si>
  <si>
    <t xml:space="preserve">How often do registered users come back?</t>
  </si>
  <si>
    <t xml:space="preserve">PA03</t>
  </si>
  <si>
    <t xml:space="preserve">Onboarding</t>
  </si>
  <si>
    <t xml:space="preserve">User starts / completes onboarding steps</t>
  </si>
  <si>
    <t xml:space="preserve">Onboarding state updated</t>
  </si>
  <si>
    <t xml:space="preserve">user_id, onboarding_step, step_started_at, step_completed_at</t>
  </si>
  <si>
    <t xml:space="preserve">Where do new users drop off before first earning?</t>
  </si>
  <si>
    <t xml:space="preserve">Proposed</t>
  </si>
  <si>
    <t xml:space="preserve">PA04</t>
  </si>
  <si>
    <t xml:space="preserve">Account status</t>
  </si>
  <si>
    <t xml:space="preserve">(none; system or admin action)</t>
  </si>
  <si>
    <t xml:space="preserve">Status changed (e.g. active, restricted, closed)</t>
  </si>
  <si>
    <t xml:space="preserve">user_id, old_status, new_status, changed_at, reason_category</t>
  </si>
  <si>
    <t xml:space="preserve">How many accounts change state and why?</t>
  </si>
  <si>
    <t xml:space="preserve">PA05</t>
  </si>
  <si>
    <t xml:space="preserve">Tasks</t>
  </si>
  <si>
    <t xml:space="preserve">Task catalogue</t>
  </si>
  <si>
    <t xml:space="preserve">View, open, start, complete a task</t>
  </si>
  <si>
    <t xml:space="preserve">Completion validated; reward credited or rejected</t>
  </si>
  <si>
    <t xml:space="preserve">task_id, task_type, user_id, start/complete time, validation_status, reward_amount, reward_unit</t>
  </si>
  <si>
    <t xml:space="preserve">Which tasks get started, finished and rewarded?</t>
  </si>
  <si>
    <t xml:space="preserve">PA06</t>
  </si>
  <si>
    <t xml:space="preserve">Earning</t>
  </si>
  <si>
    <t xml:space="preserve">Watch Ads</t>
  </si>
  <si>
    <t xml:space="preserve">Starts and finishes an ad view</t>
  </si>
  <si>
    <t xml:space="preserve">Ad provider returns completion signal; reward credited</t>
  </si>
  <si>
    <t xml:space="preserve">ad_provider, ad_placement_id, ad_started_at, ad_completed_flag, reward_amount</t>
  </si>
  <si>
    <t xml:space="preserve">What share of ad views end in a credited reward?</t>
  </si>
  <si>
    <t xml:space="preserve">PA07</t>
  </si>
  <si>
    <t xml:space="preserve">Tap &amp; Earn</t>
  </si>
  <si>
    <t xml:space="preserve">Taps / collects</t>
  </si>
  <si>
    <t xml:space="preserve">Tap count or energy recorded; reward credited</t>
  </si>
  <si>
    <t xml:space="preserve">user_id, tap_session_id, tap_count, reward_amount, reward_unit</t>
  </si>
  <si>
    <t xml:space="preserve">How much of the user base uses tap-based earning, and how often?</t>
  </si>
  <si>
    <t xml:space="preserve">PA08</t>
  </si>
  <si>
    <t xml:space="preserve">Mining</t>
  </si>
  <si>
    <t xml:space="preserve">Starts a cycle; claims result</t>
  </si>
  <si>
    <t xml:space="preserve">Cycle completes; reward credited on claim</t>
  </si>
  <si>
    <t xml:space="preserve">mining_cycle_id, start_time, end_time, claimed_at, reward_amount</t>
  </si>
  <si>
    <t xml:space="preserve">Do users return to claim and restart cycles?</t>
  </si>
  <si>
    <t xml:space="preserve">PA09</t>
  </si>
  <si>
    <t xml:space="preserve">Engagement</t>
  </si>
  <si>
    <t xml:space="preserve">Daily Rewards</t>
  </si>
  <si>
    <t xml:space="preserve">Claims daily reward</t>
  </si>
  <si>
    <t xml:space="preserve">Reward credited; streak updated</t>
  </si>
  <si>
    <t xml:space="preserve">user_id, claim_date, streak_day, reward_amount</t>
  </si>
  <si>
    <t xml:space="preserve">Do daily rewards build repeat usage?</t>
  </si>
  <si>
    <t xml:space="preserve">PA10</t>
  </si>
  <si>
    <t xml:space="preserve">Streaks</t>
  </si>
  <si>
    <t xml:space="preserve">(follows daily activity)</t>
  </si>
  <si>
    <t xml:space="preserve">Streak incremented or reset</t>
  </si>
  <si>
    <t xml:space="preserve">user_id, streak_count, previous_streak_count, change_reason</t>
  </si>
  <si>
    <t xml:space="preserve">How long do streaks last and when do they break?</t>
  </si>
  <si>
    <t xml:space="preserve">PA11</t>
  </si>
  <si>
    <t xml:space="preserve">Spin</t>
  </si>
  <si>
    <t xml:space="preserve">Starts a spin</t>
  </si>
  <si>
    <t xml:space="preserve">Outcome determined; reward credited</t>
  </si>
  <si>
    <t xml:space="preserve">spin_id, spin_started_at, outcome_category, reward_amount, reward_unit</t>
  </si>
  <si>
    <t xml:space="preserve">How often is Spin used and what is the reward distribution?</t>
  </si>
  <si>
    <t xml:space="preserve">PA12</t>
  </si>
  <si>
    <t xml:space="preserve">Missions</t>
  </si>
  <si>
    <t xml:space="preserve">Starts / progresses a mission</t>
  </si>
  <si>
    <t xml:space="preserve">Mission completed; reward credited</t>
  </si>
  <si>
    <t xml:space="preserve">mission_id, mission_type, progress_value, completed_at, reward_amount</t>
  </si>
  <si>
    <t xml:space="preserve">Which missions are completed vs abandoned?</t>
  </si>
  <si>
    <t xml:space="preserve">PA13</t>
  </si>
  <si>
    <t xml:space="preserve">Badges / Levels / XP</t>
  </si>
  <si>
    <t xml:space="preserve">(follows activity)</t>
  </si>
  <si>
    <t xml:space="preserve">Badge earned; XP added; level changed</t>
  </si>
  <si>
    <t xml:space="preserve">user_id, badge_id, xp_amount, xp_source, level_before, level_after</t>
  </si>
  <si>
    <t xml:space="preserve">Does progression drive further activity?</t>
  </si>
  <si>
    <t xml:space="preserve">PA14</t>
  </si>
  <si>
    <t xml:space="preserve">Currency</t>
  </si>
  <si>
    <t xml:space="preserve">Reward units (VEs, Gems, Tokens, XP, Spins)</t>
  </si>
  <si>
    <t xml:space="preserve">(none)</t>
  </si>
  <si>
    <t xml:space="preserve">Balances change</t>
  </si>
  <si>
    <t xml:space="preserve">reward_unit, unit_type, balance_after</t>
  </si>
  <si>
    <t xml:space="preserve">Which units exist, what are they for, can they convert?</t>
  </si>
  <si>
    <t xml:space="preserve">PA15</t>
  </si>
  <si>
    <t xml:space="preserve">Referrals</t>
  </si>
  <si>
    <t xml:space="preserve">Referral programme</t>
  </si>
  <si>
    <t xml:space="preserve">Shares code; friend registers</t>
  </si>
  <si>
    <t xml:space="preserve">Referral registered, activated, converted</t>
  </si>
  <si>
    <t xml:space="preserve">referral_id, referrer_user_id, referred_user_id, created_at, registered_at, activated_at, status</t>
  </si>
  <si>
    <t xml:space="preserve">How many referrals become genuinely active users?</t>
  </si>
  <si>
    <t xml:space="preserve">PA16</t>
  </si>
  <si>
    <t xml:space="preserve">Wallet</t>
  </si>
  <si>
    <t xml:space="preserve">Wallet transactions</t>
  </si>
  <si>
    <t xml:space="preserve">Views wallet</t>
  </si>
  <si>
    <t xml:space="preserve">Transaction recorded for every balance change</t>
  </si>
  <si>
    <t xml:space="preserve">transaction_id, user_id, type, amount, unit, status, reference_id, related_transaction_id</t>
  </si>
  <si>
    <t xml:space="preserve">Do wallet balances reconcile with rewards and withdrawals?</t>
  </si>
  <si>
    <t xml:space="preserve">PA17</t>
  </si>
  <si>
    <t xml:space="preserve">Exchange</t>
  </si>
  <si>
    <t xml:space="preserve">Exchanges one unit for another</t>
  </si>
  <si>
    <t xml:space="preserve">Paired debit and credit recorded</t>
  </si>
  <si>
    <t xml:space="preserve">from_unit, to_unit, from_amount, to_amount, exchange_rate_applied</t>
  </si>
  <si>
    <t xml:space="preserve">How much exchange activity happens and at what rates?</t>
  </si>
  <si>
    <t xml:space="preserve">PA18</t>
  </si>
  <si>
    <t xml:space="preserve">Withdrawals</t>
  </si>
  <si>
    <t xml:space="preserve">Withdrawal request</t>
  </si>
  <si>
    <t xml:space="preserve">Requests withdrawal</t>
  </si>
  <si>
    <t xml:space="preserve">Review, then completed / rejected / reversed</t>
  </si>
  <si>
    <t xml:space="preserve">withdrawal_id, requested_amount, method, requested_at, processing_at, final_at, status, reason_category</t>
  </si>
  <si>
    <t xml:space="preserve">How many requests complete, and how long do they take?</t>
  </si>
  <si>
    <t xml:space="preserve">PA19</t>
  </si>
  <si>
    <t xml:space="preserve">Support</t>
  </si>
  <si>
    <t xml:space="preserve">Help Center / support requests</t>
  </si>
  <si>
    <t xml:space="preserve">Views article; submits request</t>
  </si>
  <si>
    <t xml:space="preserve">Ticket created and resolved</t>
  </si>
  <si>
    <t xml:space="preserve">ticket_id, issue_category, created_at, resolved_at, article_id</t>
  </si>
  <si>
    <t xml:space="preserve">What do users struggle with?</t>
  </si>
  <si>
    <t xml:space="preserve">PA20</t>
  </si>
  <si>
    <t xml:space="preserve">Third parties</t>
  </si>
  <si>
    <t xml:space="preserve">Ad / survey / offer / game providers</t>
  </si>
  <si>
    <t xml:space="preserve">(indirect)</t>
  </si>
  <si>
    <t xml:space="preserve">Provider returns success, failure or delay</t>
  </si>
  <si>
    <t xml:space="preserve">provider_name, provider_reference_id, provider_status, callback_received_at</t>
  </si>
  <si>
    <t xml:space="preserve">How much data loss or delay comes from external providers?</t>
  </si>
  <si>
    <t xml:space="preserve">Step</t>
  </si>
  <si>
    <t xml:space="preserve">Step Name</t>
  </si>
  <si>
    <t xml:space="preserve">Actor</t>
  </si>
  <si>
    <t xml:space="preserve">Measurable event?</t>
  </si>
  <si>
    <t xml:space="preserve">Proposed Event</t>
  </si>
  <si>
    <t xml:space="preserve">Reason</t>
  </si>
  <si>
    <t xml:space="preserve">Task viewed</t>
  </si>
  <si>
    <t xml:space="preserve">User</t>
  </si>
  <si>
    <t xml:space="preserve">Optional</t>
  </si>
  <si>
    <t xml:space="preserve">task_viewed</t>
  </si>
  <si>
    <t xml:space="preserve">Needed for discovery-to-start conversion; high volume, so sample if cost matters</t>
  </si>
  <si>
    <t xml:space="preserve">Task opened</t>
  </si>
  <si>
    <t xml:space="preserve">Yes</t>
  </si>
  <si>
    <t xml:space="preserve">task_opened</t>
  </si>
  <si>
    <t xml:space="preserve">Shows intent beyond a view</t>
  </si>
  <si>
    <t xml:space="preserve">Task started</t>
  </si>
  <si>
    <t xml:space="preserve">task_started</t>
  </si>
  <si>
    <t xml:space="preserve">Denominator for completion rate</t>
  </si>
  <si>
    <t xml:space="preserve">Task completed (user side)</t>
  </si>
  <si>
    <t xml:space="preserve">No (merge into step 5)</t>
  </si>
  <si>
    <t xml:space="preserve">-</t>
  </si>
  <si>
    <t xml:space="preserve">Completion before validation must not be counted as success</t>
  </si>
  <si>
    <t xml:space="preserve">Completion validated</t>
  </si>
  <si>
    <t xml:space="preserve">System</t>
  </si>
  <si>
    <t xml:space="preserve">task_completed</t>
  </si>
  <si>
    <t xml:space="preserve">Fire only after validation passes (as brief example)</t>
  </si>
  <si>
    <t xml:space="preserve">Validation failed / user abandoned</t>
  </si>
  <si>
    <t xml:space="preserve">System / User</t>
  </si>
  <si>
    <t xml:space="preserve">task_failed</t>
  </si>
  <si>
    <t xml:space="preserve">Needed to explain the gap between starts and completions</t>
  </si>
  <si>
    <t xml:space="preserve">Reward credited</t>
  </si>
  <si>
    <t xml:space="preserve">reward_credited</t>
  </si>
  <si>
    <t xml:space="preserve">Separate from completion: activity occurred is not reward credited</t>
  </si>
  <si>
    <t xml:space="preserve">Ad requested / shown</t>
  </si>
  <si>
    <t xml:space="preserve">ad_shown</t>
  </si>
  <si>
    <t xml:space="preserve">Provider may fail to serve; measures fill problems</t>
  </si>
  <si>
    <t xml:space="preserve">Ad completed</t>
  </si>
  <si>
    <t xml:space="preserve">User + provider</t>
  </si>
  <si>
    <t xml:space="preserve">ad_completed</t>
  </si>
  <si>
    <t xml:space="preserve">Depends on provider signal; record source</t>
  </si>
  <si>
    <t xml:space="preserve">Links to wallet transaction</t>
  </si>
  <si>
    <t xml:space="preserve">Daily reward claimed</t>
  </si>
  <si>
    <t xml:space="preserve">daily_reward_claimed</t>
  </si>
  <si>
    <t xml:space="preserve">Core daily activity signal</t>
  </si>
  <si>
    <t xml:space="preserve">Streak updated</t>
  </si>
  <si>
    <t xml:space="preserve">streak_updated</t>
  </si>
  <si>
    <t xml:space="preserve">Records both increments and resets</t>
  </si>
  <si>
    <t xml:space="preserve">Spin started</t>
  </si>
  <si>
    <t xml:space="preserve">spin_started</t>
  </si>
  <si>
    <t xml:space="preserve">Adoption measure</t>
  </si>
  <si>
    <t xml:space="preserve">Spin completed</t>
  </si>
  <si>
    <t xml:space="preserve">spin_completed</t>
  </si>
  <si>
    <t xml:space="preserve">Outcome and reward</t>
  </si>
  <si>
    <t xml:space="preserve">Cycle started</t>
  </si>
  <si>
    <t xml:space="preserve">mining_started</t>
  </si>
  <si>
    <t xml:space="preserve">Start of repeat-usage loop</t>
  </si>
  <si>
    <t xml:space="preserve">Reward claimed</t>
  </si>
  <si>
    <t xml:space="preserve">mining_claimed</t>
  </si>
  <si>
    <t xml:space="preserve">Shows return behaviour</t>
  </si>
  <si>
    <t xml:space="preserve">Mission started</t>
  </si>
  <si>
    <t xml:space="preserve">mission_started</t>
  </si>
  <si>
    <t xml:space="preserve">Denominator for mission completion</t>
  </si>
  <si>
    <t xml:space="preserve">Mission completed</t>
  </si>
  <si>
    <t xml:space="preserve">mission_completed</t>
  </si>
  <si>
    <t xml:space="preserve">System decides completion</t>
  </si>
  <si>
    <t xml:space="preserve">User registered</t>
  </si>
  <si>
    <t xml:space="preserve">User + system</t>
  </si>
  <si>
    <t xml:space="preserve">user_registered</t>
  </si>
  <si>
    <t xml:space="preserve">Start of lifecycle</t>
  </si>
  <si>
    <t xml:space="preserve">Onboarding started</t>
  </si>
  <si>
    <t xml:space="preserve">onboarding_started</t>
  </si>
  <si>
    <t xml:space="preserve">Onboarding funnel entry</t>
  </si>
  <si>
    <t xml:space="preserve">Onboarding completed</t>
  </si>
  <si>
    <t xml:space="preserve">onboarding_completed</t>
  </si>
  <si>
    <t xml:space="preserve">Activation proxy (definition to be agreed)</t>
  </si>
  <si>
    <t xml:space="preserve">Referral created</t>
  </si>
  <si>
    <t xml:space="preserve">referral_created</t>
  </si>
  <si>
    <t xml:space="preserve">Code or link generated / shared</t>
  </si>
  <si>
    <t xml:space="preserve">Referred user registered</t>
  </si>
  <si>
    <t xml:space="preserve">referral_registered</t>
  </si>
  <si>
    <t xml:space="preserve">Registration is not conversion</t>
  </si>
  <si>
    <t xml:space="preserve">Referred user activated</t>
  </si>
  <si>
    <t xml:space="preserve">referral_activated</t>
  </si>
  <si>
    <t xml:space="preserve">Needs agreed definition of activated (A010)</t>
  </si>
  <si>
    <t xml:space="preserve">Referral converted</t>
  </si>
  <si>
    <t xml:space="preserve">referral_converted</t>
  </si>
  <si>
    <t xml:space="preserve">Business outcome of referral</t>
  </si>
  <si>
    <t xml:space="preserve">Requested</t>
  </si>
  <si>
    <t xml:space="preserve">withdrawal_requested</t>
  </si>
  <si>
    <t xml:space="preserve">Start of withdrawal lifecycle</t>
  </si>
  <si>
    <t xml:space="preserve">Under review / processing</t>
  </si>
  <si>
    <t xml:space="preserve">withdrawal_processing</t>
  </si>
  <si>
    <t xml:space="preserve">Needed for processing-time KPI</t>
  </si>
  <si>
    <t xml:space="preserve">Completed</t>
  </si>
  <si>
    <t xml:space="preserve">withdrawal_completed</t>
  </si>
  <si>
    <t xml:space="preserve">Business outcome</t>
  </si>
  <si>
    <t xml:space="preserve">Rejected / reversed</t>
  </si>
  <si>
    <t xml:space="preserve">withdrawal_rejected / withdrawal_reversed</t>
  </si>
  <si>
    <t xml:space="preserve">Alternative end states; each needs reason category</t>
  </si>
  <si>
    <t xml:space="preserve">Item</t>
  </si>
  <si>
    <t xml:space="preserve">Classification</t>
  </si>
  <si>
    <t xml:space="preserve">Why</t>
  </si>
  <si>
    <t xml:space="preserve">User opens a task</t>
  </si>
  <si>
    <t xml:space="preserve">User Event</t>
  </si>
  <si>
    <t xml:space="preserve">Initiated by the user</t>
  </si>
  <si>
    <t xml:space="preserve">User starts a task</t>
  </si>
  <si>
    <t xml:space="preserve">User claims daily reward</t>
  </si>
  <si>
    <t xml:space="preserve">User requests withdrawal</t>
  </si>
  <si>
    <t xml:space="preserve">User starts a spin</t>
  </si>
  <si>
    <t xml:space="preserve">User logs in</t>
  </si>
  <si>
    <t xml:space="preserve">user_logged_in</t>
  </si>
  <si>
    <t xml:space="preserve">Task completion validated</t>
  </si>
  <si>
    <t xml:space="preserve">System Event</t>
  </si>
  <si>
    <t xml:space="preserve">Decided by system rules</t>
  </si>
  <si>
    <t xml:space="preserve">Task validation failed</t>
  </si>
  <si>
    <t xml:space="preserve">Wallet balance changed by system</t>
  </si>
  <si>
    <t xml:space="preserve">Reward pending</t>
  </si>
  <si>
    <t xml:space="preserve">Held before crediting</t>
  </si>
  <si>
    <t xml:space="preserve">reward_pending</t>
  </si>
  <si>
    <t xml:space="preserve">Reward reversed</t>
  </si>
  <si>
    <t xml:space="preserve">Credit undone by system or operations</t>
  </si>
  <si>
    <t xml:space="preserve">reward_reversed</t>
  </si>
  <si>
    <t xml:space="preserve">Withdrawal under review</t>
  </si>
  <si>
    <t xml:space="preserve">Operations or automated check</t>
  </si>
  <si>
    <t xml:space="preserve">Withdrawal rejected</t>
  </si>
  <si>
    <t xml:space="preserve">Decision by system or operations</t>
  </si>
  <si>
    <t xml:space="preserve">withdrawal_rejected</t>
  </si>
  <si>
    <t xml:space="preserve">Account status changed</t>
  </si>
  <si>
    <t xml:space="preserve">Admin or system action</t>
  </si>
  <si>
    <t xml:space="preserve">account_status_changed</t>
  </si>
  <si>
    <t xml:space="preserve">Computed by system</t>
  </si>
  <si>
    <t xml:space="preserve">Referral activated</t>
  </si>
  <si>
    <t xml:space="preserve">System detects qualifying activity</t>
  </si>
  <si>
    <t xml:space="preserve">System evaluates progress</t>
  </si>
  <si>
    <t xml:space="preserve">Daily active users increase</t>
  </si>
  <si>
    <t xml:space="preserve">Business Outcome</t>
  </si>
  <si>
    <t xml:space="preserve">Derived metric, not an event</t>
  </si>
  <si>
    <t xml:space="preserve">(KPI)</t>
  </si>
  <si>
    <t xml:space="preserve">Withdrawal completed and paid out</t>
  </si>
  <si>
    <t xml:space="preserve">Final result of a lifecycle</t>
  </si>
  <si>
    <t xml:space="preserve">Final result of a referral lifecycle</t>
  </si>
  <si>
    <t xml:space="preserve">Task completion rate</t>
  </si>
  <si>
    <t xml:space="preserve">Derived: completed / started</t>
  </si>
  <si>
    <t xml:space="preserve">System Action</t>
  </si>
  <si>
    <t xml:space="preserve">Source</t>
  </si>
  <si>
    <t xml:space="preserve">Priority</t>
  </si>
  <si>
    <t xml:space="preserve">Signs up</t>
  </si>
  <si>
    <t xml:space="preserve">Creates account, issues user_id</t>
  </si>
  <si>
    <t xml:space="preserve">New user</t>
  </si>
  <si>
    <t xml:space="preserve">user_id, registered_at, registration_source, platform</t>
  </si>
  <si>
    <t xml:space="preserve">Backend</t>
  </si>
  <si>
    <t xml:space="preserve">Volume and source of new users?</t>
  </si>
  <si>
    <t xml:space="preserve">Critical</t>
  </si>
  <si>
    <t xml:space="preserve">Logs in</t>
  </si>
  <si>
    <t xml:space="preserve">Starts session</t>
  </si>
  <si>
    <t xml:space="preserve">Returning activity</t>
  </si>
  <si>
    <t xml:space="preserve">user_id, login_at, platform, session_id</t>
  </si>
  <si>
    <t xml:space="preserve">How often do users return?</t>
  </si>
  <si>
    <t xml:space="preserve">High</t>
  </si>
  <si>
    <t xml:space="preserve">Logs out</t>
  </si>
  <si>
    <t xml:space="preserve">Ends session</t>
  </si>
  <si>
    <t xml:space="preserve">user_id, logout_at</t>
  </si>
  <si>
    <t xml:space="preserve">user_logged_out</t>
  </si>
  <si>
    <t xml:space="preserve">Frontend</t>
  </si>
  <si>
    <t xml:space="preserve">Needed only where session length matters</t>
  </si>
  <si>
    <t xml:space="preserve">Low</t>
  </si>
  <si>
    <t xml:space="preserve">Starts onboarding</t>
  </si>
  <si>
    <t xml:space="preserve">Records step</t>
  </si>
  <si>
    <t xml:space="preserve">Funnel entry</t>
  </si>
  <si>
    <t xml:space="preserve">user_id, onboarding_step, started_at</t>
  </si>
  <si>
    <t xml:space="preserve">Where do new users enter the funnel?</t>
  </si>
  <si>
    <t xml:space="preserve">Completes onboarding</t>
  </si>
  <si>
    <t xml:space="preserve">Marks complete</t>
  </si>
  <si>
    <t xml:space="preserve">Activation proxy</t>
  </si>
  <si>
    <t xml:space="preserve">user_id, completed_at</t>
  </si>
  <si>
    <t xml:space="preserve">What share finishes onboarding?</t>
  </si>
  <si>
    <t xml:space="preserve">Views a task</t>
  </si>
  <si>
    <t xml:space="preserve">Discovery</t>
  </si>
  <si>
    <t xml:space="preserve">user_id, task_id, task_type, feature</t>
  </si>
  <si>
    <t xml:space="preserve">What do users see vs start?</t>
  </si>
  <si>
    <t xml:space="preserve">Medium</t>
  </si>
  <si>
    <t xml:space="preserve">Opens a task</t>
  </si>
  <si>
    <t xml:space="preserve">Intent</t>
  </si>
  <si>
    <t xml:space="preserve">user_id, task_id, task_type</t>
  </si>
  <si>
    <t xml:space="preserve">Which tasks attract attention?</t>
  </si>
  <si>
    <t xml:space="preserve">Starts a task</t>
  </si>
  <si>
    <t xml:space="preserve">Creates task activity record</t>
  </si>
  <si>
    <t xml:space="preserve">Task start</t>
  </si>
  <si>
    <t xml:space="preserve">user_id, task_id, task_type, started_at, task_activity_id</t>
  </si>
  <si>
    <t xml:space="preserve">How many tasks begin?</t>
  </si>
  <si>
    <t xml:space="preserve">Completes a task</t>
  </si>
  <si>
    <t xml:space="preserve">Validates completion</t>
  </si>
  <si>
    <t xml:space="preserve">Task completed</t>
  </si>
  <si>
    <t xml:space="preserve">user_id, task_id, completed_at, status, reward_amount, reward_unit</t>
  </si>
  <si>
    <t xml:space="preserve">Completion rate per task type?</t>
  </si>
  <si>
    <t xml:space="preserve">Abandons or fails</t>
  </si>
  <si>
    <t xml:space="preserve">Records failure class</t>
  </si>
  <si>
    <t xml:space="preserve">Task failed</t>
  </si>
  <si>
    <t xml:space="preserve">user_id, task_id, failure_category</t>
  </si>
  <si>
    <t xml:space="preserve">Why do tasks not finish?</t>
  </si>
  <si>
    <t xml:space="preserve">Rewards</t>
  </si>
  <si>
    <t xml:space="preserve">Credits reward to wallet</t>
  </si>
  <si>
    <t xml:space="preserve">reward_id, user_id, amount, unit, source_feature, wallet_transaction_id</t>
  </si>
  <si>
    <t xml:space="preserve">How much is credited, by feature?</t>
  </si>
  <si>
    <t xml:space="preserve">Holds reward until validated</t>
  </si>
  <si>
    <t xml:space="preserve">reward_id, pending_reason, expected_resolution_at</t>
  </si>
  <si>
    <t xml:space="preserve">How many rewards stay pending and for how long?</t>
  </si>
  <si>
    <t xml:space="preserve">Reverses a credited reward</t>
  </si>
  <si>
    <t xml:space="preserve">reward_id, original_reward_id, reason_category, reversed_at</t>
  </si>
  <si>
    <t xml:space="preserve">How often do credits get undone?</t>
  </si>
  <si>
    <t xml:space="preserve">Corrects a reward amount</t>
  </si>
  <si>
    <t xml:space="preserve">Reward corrected</t>
  </si>
  <si>
    <t xml:space="preserve">reward_id, old_amount, new_amount, correction_reason</t>
  </si>
  <si>
    <t xml:space="preserve">reward_corrected</t>
  </si>
  <si>
    <t xml:space="preserve">Are rewards being corrected after the fact?</t>
  </si>
  <si>
    <t xml:space="preserve">Credits reward</t>
  </si>
  <si>
    <t xml:space="preserve">Daily activity</t>
  </si>
  <si>
    <t xml:space="preserve">Does the daily reward drive habit?</t>
  </si>
  <si>
    <t xml:space="preserve">Updates streak</t>
  </si>
  <si>
    <t xml:space="preserve">Streak change</t>
  </si>
  <si>
    <t xml:space="preserve">user_id, streak_count, previous_streak_count, change_type</t>
  </si>
  <si>
    <t xml:space="preserve">Where do streaks break?</t>
  </si>
  <si>
    <t xml:space="preserve">Starts spin</t>
  </si>
  <si>
    <t xml:space="preserve">Adoption</t>
  </si>
  <si>
    <t xml:space="preserve">user_id, spin_id</t>
  </si>
  <si>
    <t xml:space="preserve">How many users spin?</t>
  </si>
  <si>
    <t xml:space="preserve">Determines outcome</t>
  </si>
  <si>
    <t xml:space="preserve">Spin result</t>
  </si>
  <si>
    <t xml:space="preserve">spin_id, outcome_category, reward_amount, reward_unit</t>
  </si>
  <si>
    <t xml:space="preserve">What does Spin pay out?</t>
  </si>
  <si>
    <t xml:space="preserve">Starts mission</t>
  </si>
  <si>
    <t xml:space="preserve">Records start</t>
  </si>
  <si>
    <t xml:space="preserve">Mission start</t>
  </si>
  <si>
    <t xml:space="preserve">user_id, mission_id, started_at</t>
  </si>
  <si>
    <t xml:space="preserve">Which missions are taken up?</t>
  </si>
  <si>
    <t xml:space="preserve">Marks mission complete</t>
  </si>
  <si>
    <t xml:space="preserve">user_id, mission_id, completed_at, reward_amount</t>
  </si>
  <si>
    <t xml:space="preserve">Which missions finish?</t>
  </si>
  <si>
    <t xml:space="preserve">Badges / Levels</t>
  </si>
  <si>
    <t xml:space="preserve">Awards badge</t>
  </si>
  <si>
    <t xml:space="preserve">Progression</t>
  </si>
  <si>
    <t xml:space="preserve">user_id, badge_id, earned_at</t>
  </si>
  <si>
    <t xml:space="preserve">badge_earned</t>
  </si>
  <si>
    <t xml:space="preserve">Does progression affect activity?</t>
  </si>
  <si>
    <t xml:space="preserve">Shares code</t>
  </si>
  <si>
    <t xml:space="preserve">Creates referral record</t>
  </si>
  <si>
    <t xml:space="preserve">referral_id, referrer_user_id, created_at, source</t>
  </si>
  <si>
    <t xml:space="preserve">How many referrals are started?</t>
  </si>
  <si>
    <t xml:space="preserve">Links new user to referral</t>
  </si>
  <si>
    <t xml:space="preserve">Referral registered</t>
  </si>
  <si>
    <t xml:space="preserve">referral_id, referred_user_id, registered_at</t>
  </si>
  <si>
    <t xml:space="preserve">How many invitees register?</t>
  </si>
  <si>
    <t xml:space="preserve">Detects qualifying activity</t>
  </si>
  <si>
    <t xml:space="preserve">referral_id, activated_at, activation_rule</t>
  </si>
  <si>
    <t xml:space="preserve">How many invitees become active?</t>
  </si>
  <si>
    <t xml:space="preserve">Marks referral successful</t>
  </si>
  <si>
    <t xml:space="preserve">referral_id, converted_at, reward_transaction_id</t>
  </si>
  <si>
    <t xml:space="preserve">What is the true referral conversion?</t>
  </si>
  <si>
    <t xml:space="preserve">Creates transaction</t>
  </si>
  <si>
    <t xml:space="preserve">Balance change</t>
  </si>
  <si>
    <t xml:space="preserve">transaction_id, user_id, type, amount, unit, status, reference_id</t>
  </si>
  <si>
    <t xml:space="preserve">wallet_transaction_created</t>
  </si>
  <si>
    <t xml:space="preserve">Does every balance change have a record?</t>
  </si>
  <si>
    <t xml:space="preserve">Completes transaction</t>
  </si>
  <si>
    <t xml:space="preserve">Balance final</t>
  </si>
  <si>
    <t xml:space="preserve">transaction_id, completed_at</t>
  </si>
  <si>
    <t xml:space="preserve">wallet_transaction_completed</t>
  </si>
  <si>
    <t xml:space="preserve">How long until transactions settle?</t>
  </si>
  <si>
    <t xml:space="preserve">Reverses transaction</t>
  </si>
  <si>
    <t xml:space="preserve">Reversal</t>
  </si>
  <si>
    <t xml:space="preserve">transaction_id, related_transaction_id, reason_category</t>
  </si>
  <si>
    <t xml:space="preserve">wallet_transaction_reversed</t>
  </si>
  <si>
    <t xml:space="preserve">How often are transactions reversed?</t>
  </si>
  <si>
    <t xml:space="preserve">Exchanges units</t>
  </si>
  <si>
    <t xml:space="preserve">Creates paired debit and credit</t>
  </si>
  <si>
    <t xml:space="preserve">from_unit, to_unit, from_amount, to_amount, rate_applied</t>
  </si>
  <si>
    <t xml:space="preserve">wallet_exchange_completed</t>
  </si>
  <si>
    <t xml:space="preserve">How much exchange activity exists?</t>
  </si>
  <si>
    <t xml:space="preserve">Creates request</t>
  </si>
  <si>
    <t xml:space="preserve">withdrawal_id, user_id, requested_amount, method, requested_at</t>
  </si>
  <si>
    <t xml:space="preserve">How many users try to withdraw?</t>
  </si>
  <si>
    <t xml:space="preserve">Moves to review</t>
  </si>
  <si>
    <t xml:space="preserve">In review</t>
  </si>
  <si>
    <t xml:space="preserve">withdrawal_id, processing_at</t>
  </si>
  <si>
    <t xml:space="preserve">How big is the pending queue?</t>
  </si>
  <si>
    <t xml:space="preserve">Completes payout</t>
  </si>
  <si>
    <t xml:space="preserve">withdrawal_id, final_at, status</t>
  </si>
  <si>
    <t xml:space="preserve">How many requests complete?</t>
  </si>
  <si>
    <t xml:space="preserve">Rejects request</t>
  </si>
  <si>
    <t xml:space="preserve">Rejected</t>
  </si>
  <si>
    <t xml:space="preserve">withdrawal_id, final_at, reason_category</t>
  </si>
  <si>
    <t xml:space="preserve">Why are requests rejected?</t>
  </si>
  <si>
    <t xml:space="preserve">Reverses payout</t>
  </si>
  <si>
    <t xml:space="preserve">Reversed</t>
  </si>
  <si>
    <t xml:space="preserve">withdrawal_id, reversed_at, reason_category</t>
  </si>
  <si>
    <t xml:space="preserve">withdrawal_reversed</t>
  </si>
  <si>
    <t xml:space="preserve">How often are payouts reversed?</t>
  </si>
  <si>
    <t xml:space="preserve">Opens Help Center / submits request</t>
  </si>
  <si>
    <t xml:space="preserve">Creates ticket</t>
  </si>
  <si>
    <t xml:space="preserve">Support demand</t>
  </si>
  <si>
    <t xml:space="preserve">ticket_id, issue_category, created_at, article_id</t>
  </si>
  <si>
    <t xml:space="preserve">support_request_created</t>
  </si>
  <si>
    <t xml:space="preserve">What do users need help with?</t>
  </si>
  <si>
    <t xml:space="preserve">Third-party earning</t>
  </si>
  <si>
    <t xml:space="preserve">Receives provider callback</t>
  </si>
  <si>
    <t xml:space="preserve">Provider outcome</t>
  </si>
  <si>
    <t xml:space="preserve">provider_callback_received</t>
  </si>
  <si>
    <t xml:space="preserve">Provider</t>
  </si>
  <si>
    <t xml:space="preserve">How reliable are external providers?</t>
  </si>
  <si>
    <t xml:space="preserve">Status changed by user, system or operations</t>
  </si>
  <si>
    <t xml:space="preserve">Account state change</t>
  </si>
  <si>
    <t xml:space="preserve">user_id, previous_status, new_status, changed_at, status_change_actor</t>
  </si>
  <si>
    <t xml:space="preserve">How many accounts change state, and why?</t>
  </si>
  <si>
    <t xml:space="preserve">Refuses a pending reward</t>
  </si>
  <si>
    <t xml:space="preserve">Reward not credited</t>
  </si>
  <si>
    <t xml:space="preserve">reward_id, reason_category</t>
  </si>
  <si>
    <t xml:space="preserve">reward_rejected</t>
  </si>
  <si>
    <t xml:space="preserve">How many pending rewards are never credited?</t>
  </si>
  <si>
    <t xml:space="preserve">Starts a mining cycle</t>
  </si>
  <si>
    <t xml:space="preserve">Creates cycle record</t>
  </si>
  <si>
    <t xml:space="preserve">Cycle start</t>
  </si>
  <si>
    <t xml:space="preserve">mining_cycle_id, started_at</t>
  </si>
  <si>
    <t xml:space="preserve">Do users start cycles?</t>
  </si>
  <si>
    <t xml:space="preserve">Claims cycle result</t>
  </si>
  <si>
    <t xml:space="preserve">Return behaviour</t>
  </si>
  <si>
    <t xml:space="preserve">mining_cycle_id, reward_amount, reward_unit, claimed_at</t>
  </si>
  <si>
    <t xml:space="preserve">Do users return to claim?</t>
  </si>
  <si>
    <t xml:space="preserve">Feature usage</t>
  </si>
  <si>
    <t xml:space="preserve">Opens a feature screen</t>
  </si>
  <si>
    <t xml:space="preserve">Feature adoption</t>
  </si>
  <si>
    <t xml:space="preserve">feature_name, screen_name</t>
  </si>
  <si>
    <t xml:space="preserve">feature_opened</t>
  </si>
  <si>
    <t xml:space="preserve">How many users adopt features that have no start event of their own?</t>
  </si>
  <si>
    <t xml:space="preserve">Cancels request before processing</t>
  </si>
  <si>
    <t xml:space="preserve">Cancels withdrawal</t>
  </si>
  <si>
    <t xml:space="preserve">Cancelled</t>
  </si>
  <si>
    <t xml:space="preserve">withdrawal_id, reason_category</t>
  </si>
  <si>
    <t xml:space="preserve">withdrawal_cancelled</t>
  </si>
  <si>
    <t xml:space="preserve">How many requests are cancelled by users?</t>
  </si>
  <si>
    <t xml:space="preserve">Gap ID</t>
  </si>
  <si>
    <t xml:space="preserve">Analytics Gap</t>
  </si>
  <si>
    <t xml:space="preserve">Area</t>
  </si>
  <si>
    <t xml:space="preserve">Why It Could Affect Production Reporting</t>
  </si>
  <si>
    <t xml:space="preserve">Priority Reason</t>
  </si>
  <si>
    <t xml:space="preserve">Linked Assumption</t>
  </si>
  <si>
    <t xml:space="preserve">G01</t>
  </si>
  <si>
    <t xml:space="preserve">No confirmed stable user identifier</t>
  </si>
  <si>
    <t xml:space="preserve">Cross-event, retention and cohort analysis break if user_id changes or is duplicated across devices</t>
  </si>
  <si>
    <t xml:space="preserve">Without a stable user_id, one person can appear as several users</t>
  </si>
  <si>
    <t xml:space="preserve">A003</t>
  </si>
  <si>
    <t xml:space="preserve">G02</t>
  </si>
  <si>
    <t xml:space="preserve">No confirmed unique transaction ID on wallet entries</t>
  </si>
  <si>
    <t xml:space="preserve">Duplicate credits cannot be detected or reconciled</t>
  </si>
  <si>
    <t xml:space="preserve">Without a stable transaction ID, reliable wallet deduplication cannot be guaranteed</t>
  </si>
  <si>
    <t xml:space="preserve">A005</t>
  </si>
  <si>
    <t xml:space="preserve">G03</t>
  </si>
  <si>
    <t xml:space="preserve">Unknown whether task completion events are emitted</t>
  </si>
  <si>
    <t xml:space="preserve">Task KPIs cannot be computed from production data</t>
  </si>
  <si>
    <t xml:space="preserve">All earning analytics depend on completion events</t>
  </si>
  <si>
    <t xml:space="preserve">A001</t>
  </si>
  <si>
    <t xml:space="preserve">G04</t>
  </si>
  <si>
    <t xml:space="preserve">Reward unit definitions are undefined (VE, XP, Gems, Tokens, Spins)</t>
  </si>
  <si>
    <t xml:space="preserve">Amounts in different units cannot be summed or compared</t>
  </si>
  <si>
    <t xml:space="preserve">Wrong totals would mislead management</t>
  </si>
  <si>
    <t xml:space="preserve">A002</t>
  </si>
  <si>
    <t xml:space="preserve">G05</t>
  </si>
  <si>
    <t xml:space="preserve">Activity vs credited reward not clearly separated</t>
  </si>
  <si>
    <t xml:space="preserve">Reward KPIs may count activity as paid rewards</t>
  </si>
  <si>
    <t xml:space="preserve">Overstated reward figures</t>
  </si>
  <si>
    <t xml:space="preserve">A013</t>
  </si>
  <si>
    <t xml:space="preserve">G06</t>
  </si>
  <si>
    <t xml:space="preserve">Withdrawal state history may not be stored</t>
  </si>
  <si>
    <t xml:space="preserve">Processing time and rejection analysis need timestamps for every state</t>
  </si>
  <si>
    <t xml:space="preserve">Without state history, only the latest status is visible</t>
  </si>
  <si>
    <t xml:space="preserve">A006, A007</t>
  </si>
  <si>
    <t xml:space="preserve">G07</t>
  </si>
  <si>
    <t xml:space="preserve">No agreed definition of an activated or converted referral</t>
  </si>
  <si>
    <t xml:space="preserve">Registration could be reported as conversion</t>
  </si>
  <si>
    <t xml:space="preserve">Inflated referral success</t>
  </si>
  <si>
    <t xml:space="preserve">A010</t>
  </si>
  <si>
    <t xml:space="preserve">G08</t>
  </si>
  <si>
    <t xml:space="preserve">Session identifier not confirmed</t>
  </si>
  <si>
    <t xml:space="preserve">Session-level analysis not possible; DAU still possible via events</t>
  </si>
  <si>
    <t xml:space="preserve">Useful but not blocking for core KPIs</t>
  </si>
  <si>
    <t xml:space="preserve">A004</t>
  </si>
  <si>
    <t xml:space="preserve">G09</t>
  </si>
  <si>
    <t xml:space="preserve">Failure reasons for tasks and withdrawals not classified</t>
  </si>
  <si>
    <t xml:space="preserve">Tasks / Withdrawals</t>
  </si>
  <si>
    <t xml:space="preserve">Cannot explain drop-offs or rejections</t>
  </si>
  <si>
    <t xml:space="preserve">Needed to act on problems, not just count them</t>
  </si>
  <si>
    <t xml:space="preserve">A001, A007</t>
  </si>
  <si>
    <t xml:space="preserve">G10</t>
  </si>
  <si>
    <t xml:space="preserve">Third-party provider data (ads, surveys, offers) may be partial or delayed</t>
  </si>
  <si>
    <t xml:space="preserve">Completions may be missing or late, understating activity</t>
  </si>
  <si>
    <t xml:space="preserve">External systems are outside VELOOP control</t>
  </si>
  <si>
    <t xml:space="preserve">A009</t>
  </si>
  <si>
    <t xml:space="preserve">G11</t>
  </si>
  <si>
    <t xml:space="preserve">Timestamp format and timezone not confirmed</t>
  </si>
  <si>
    <t xml:space="preserve">All</t>
  </si>
  <si>
    <t xml:space="preserve">Daily metrics may shift across day boundaries</t>
  </si>
  <si>
    <t xml:space="preserve">Wrong day bucket changes DAU and streaks</t>
  </si>
  <si>
    <t xml:space="preserve">A012</t>
  </si>
  <si>
    <t xml:space="preserve">G12</t>
  </si>
  <si>
    <t xml:space="preserve">Registration and acquisition source not confirmed</t>
  </si>
  <si>
    <t xml:space="preserve">Acquisition dashboards impossible</t>
  </si>
  <si>
    <t xml:space="preserve">Valuable for marketing but not blocking</t>
  </si>
  <si>
    <t xml:space="preserve">A014</t>
  </si>
  <si>
    <t xml:space="preserve">G13</t>
  </si>
  <si>
    <t xml:space="preserve">Feature live vs planned status unknown</t>
  </si>
  <si>
    <t xml:space="preserve">Events may be built for features that do not exist</t>
  </si>
  <si>
    <t xml:space="preserve">Wasted engineering effort and empty dashboards</t>
  </si>
  <si>
    <t xml:space="preserve">A008</t>
  </si>
  <si>
    <t xml:space="preserve">G14</t>
  </si>
  <si>
    <t xml:space="preserve">No confirmed data store or event pipeline</t>
  </si>
  <si>
    <t xml:space="preserve">Platform</t>
  </si>
  <si>
    <t xml:space="preserve">Nowhere to land events for analysis</t>
  </si>
  <si>
    <t xml:space="preserve">Pipeline design depends on it</t>
  </si>
  <si>
    <t xml:space="preserve">A011</t>
  </si>
  <si>
    <t xml:space="preserve">G15</t>
  </si>
  <si>
    <t xml:space="preserve">Support / Help Center data may not exist</t>
  </si>
  <si>
    <t xml:space="preserve">Support KPIs may not be reportable</t>
  </si>
  <si>
    <t xml:space="preserve">Not needed for first release</t>
  </si>
  <si>
    <t xml:space="preserve">A015</t>
  </si>
  <si>
    <t xml:space="preserve">Events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</si>
</sst>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8CBAD"/>
        <bgColor rgb="FFF4B6B6"/>
      </patternFill>
    </fill>
    <fill>
      <patternFill patternType="solid">
        <fgColor rgb="FFFFEB9C"/>
        <bgColor rgb="FFFFFFCC"/>
      </patternFill>
    </fill>
    <fill>
      <patternFill patternType="solid">
        <fgColor rgb="FFDDEBF7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E2EFDA"/>
        <bgColor rgb="FFDDEBF7"/>
      </patternFill>
    </fill>
    <fill>
      <patternFill patternType="solid">
        <fgColor rgb="FFF4B6B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4B6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23.85" hidden="false" customHeight="false" outlineLevel="0" collapsed="false">
      <c r="A6" s="2" t="s">
        <v>3</v>
      </c>
    </row>
    <row r="8" customFormat="false" ht="15" hidden="false" customHeight="false" outlineLevel="0" collapsed="false">
      <c r="A8" s="4" t="s">
        <v>4</v>
      </c>
    </row>
    <row r="9" customFormat="false" ht="15" hidden="false" customHeight="false" outlineLevel="0" collapsed="false">
      <c r="A9" s="5" t="s">
        <v>5</v>
      </c>
      <c r="B9" s="5" t="n">
        <f aca="false">COUNTA(A1_Product_Area_Map!A:A)-1</f>
        <v>20</v>
      </c>
    </row>
    <row r="10" customFormat="false" ht="15" hidden="false" customHeight="false" outlineLevel="0" collapsed="false">
      <c r="A10" s="5" t="s">
        <v>6</v>
      </c>
      <c r="B10" s="5" t="n">
        <f aca="false">COUNTA(A4_Data_Coverage_Matrix!A:A)-1</f>
        <v>42</v>
      </c>
    </row>
    <row r="11" customFormat="false" ht="15" hidden="false" customHeight="false" outlineLevel="0" collapsed="false">
      <c r="A11" s="5" t="s">
        <v>7</v>
      </c>
      <c r="B11" s="5" t="n">
        <f aca="false">COUNTA(A4_Data_Coverage_Matrix!F:F)-1</f>
        <v>42</v>
      </c>
    </row>
    <row r="12" customFormat="false" ht="15" hidden="false" customHeight="false" outlineLevel="0" collapsed="false">
      <c r="A12" s="5" t="s">
        <v>8</v>
      </c>
      <c r="B12" s="5" t="n">
        <f aca="false">COUNTA(Analytics_Gaps!A:A)-1</f>
        <v>15</v>
      </c>
    </row>
    <row r="13" customFormat="false" ht="15" hidden="false" customHeight="false" outlineLevel="0" collapsed="false">
      <c r="A13" s="5" t="s">
        <v>9</v>
      </c>
      <c r="B13" s="5" t="n">
        <f aca="false">COUNTIF(Analytics_Gaps!E:E,"Critical")</f>
        <v>5</v>
      </c>
    </row>
    <row r="14" customFormat="false" ht="15" hidden="false" customHeight="false" outlineLevel="0" collapsed="false">
      <c r="A14" s="5" t="s">
        <v>10</v>
      </c>
      <c r="B14" s="5" t="n">
        <f aca="false">COUNTIF(Analytics_Gaps!E:E,"High")</f>
        <v>7</v>
      </c>
    </row>
    <row r="15" customFormat="false" ht="15" hidden="false" customHeight="false" outlineLevel="0" collapsed="false">
      <c r="A15" s="5" t="s">
        <v>11</v>
      </c>
      <c r="B15" s="5" t="n">
        <f aca="false">COUNTIF(A4_Data_Coverage_Matrix!J:J,"Critical")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48"/>
    <col collapsed="false" customWidth="true" hidden="false" outlineLevel="0" max="7" min="7" style="0" width="40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6" t="s">
        <v>19</v>
      </c>
    </row>
    <row r="2" customFormat="false" ht="23.85" hidden="false" customHeight="false" outlineLevel="0" collapsed="false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8" t="s">
        <v>27</v>
      </c>
    </row>
    <row r="3" customFormat="false" ht="15" hidden="false" customHeight="false" outlineLevel="0" collapsed="false">
      <c r="A3" s="7" t="s">
        <v>28</v>
      </c>
      <c r="B3" s="7" t="s">
        <v>21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8" t="s">
        <v>27</v>
      </c>
    </row>
    <row r="4" customFormat="false" ht="23.85" hidden="false" customHeight="false" outlineLevel="0" collapsed="false">
      <c r="A4" s="7" t="s">
        <v>34</v>
      </c>
      <c r="B4" s="7" t="s">
        <v>21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9" t="s">
        <v>40</v>
      </c>
    </row>
    <row r="5" customFormat="false" ht="23.85" hidden="false" customHeight="false" outlineLevel="0" collapsed="false">
      <c r="A5" s="7" t="s">
        <v>41</v>
      </c>
      <c r="B5" s="7" t="s">
        <v>21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8" t="s">
        <v>27</v>
      </c>
    </row>
    <row r="6" customFormat="false" ht="23.85" hidden="false" customHeight="false" outlineLevel="0" collapsed="false">
      <c r="A6" s="7" t="s">
        <v>47</v>
      </c>
      <c r="B6" s="7" t="s">
        <v>48</v>
      </c>
      <c r="C6" s="7" t="s">
        <v>49</v>
      </c>
      <c r="D6" s="7" t="s">
        <v>50</v>
      </c>
      <c r="E6" s="7" t="s">
        <v>51</v>
      </c>
      <c r="F6" s="7" t="s">
        <v>52</v>
      </c>
      <c r="G6" s="7" t="s">
        <v>53</v>
      </c>
      <c r="H6" s="8" t="s">
        <v>27</v>
      </c>
    </row>
    <row r="7" customFormat="false" ht="23.85" hidden="false" customHeight="false" outlineLevel="0" collapsed="false">
      <c r="A7" s="7" t="s">
        <v>54</v>
      </c>
      <c r="B7" s="7" t="s">
        <v>55</v>
      </c>
      <c r="C7" s="7" t="s">
        <v>56</v>
      </c>
      <c r="D7" s="7" t="s">
        <v>57</v>
      </c>
      <c r="E7" s="7" t="s">
        <v>58</v>
      </c>
      <c r="F7" s="7" t="s">
        <v>59</v>
      </c>
      <c r="G7" s="7" t="s">
        <v>60</v>
      </c>
      <c r="H7" s="8" t="s">
        <v>27</v>
      </c>
    </row>
    <row r="8" customFormat="false" ht="23.85" hidden="false" customHeight="false" outlineLevel="0" collapsed="false">
      <c r="A8" s="7" t="s">
        <v>61</v>
      </c>
      <c r="B8" s="7" t="s">
        <v>55</v>
      </c>
      <c r="C8" s="7" t="s">
        <v>62</v>
      </c>
      <c r="D8" s="7" t="s">
        <v>63</v>
      </c>
      <c r="E8" s="7" t="s">
        <v>64</v>
      </c>
      <c r="F8" s="7" t="s">
        <v>65</v>
      </c>
      <c r="G8" s="7" t="s">
        <v>66</v>
      </c>
      <c r="H8" s="8" t="s">
        <v>27</v>
      </c>
    </row>
    <row r="9" customFormat="false" ht="23.85" hidden="false" customHeight="false" outlineLevel="0" collapsed="false">
      <c r="A9" s="7" t="s">
        <v>67</v>
      </c>
      <c r="B9" s="7" t="s">
        <v>55</v>
      </c>
      <c r="C9" s="7" t="s">
        <v>68</v>
      </c>
      <c r="D9" s="7" t="s">
        <v>69</v>
      </c>
      <c r="E9" s="7" t="s">
        <v>70</v>
      </c>
      <c r="F9" s="7" t="s">
        <v>71</v>
      </c>
      <c r="G9" s="7" t="s">
        <v>72</v>
      </c>
      <c r="H9" s="8" t="s">
        <v>27</v>
      </c>
    </row>
    <row r="10" customFormat="false" ht="15" hidden="false" customHeight="false" outlineLevel="0" collapsed="false">
      <c r="A10" s="7" t="s">
        <v>73</v>
      </c>
      <c r="B10" s="7" t="s">
        <v>74</v>
      </c>
      <c r="C10" s="7" t="s">
        <v>75</v>
      </c>
      <c r="D10" s="7" t="s">
        <v>76</v>
      </c>
      <c r="E10" s="7" t="s">
        <v>77</v>
      </c>
      <c r="F10" s="7" t="s">
        <v>78</v>
      </c>
      <c r="G10" s="7" t="s">
        <v>79</v>
      </c>
      <c r="H10" s="8" t="s">
        <v>27</v>
      </c>
    </row>
    <row r="11" customFormat="false" ht="23.85" hidden="false" customHeight="false" outlineLevel="0" collapsed="false">
      <c r="A11" s="7" t="s">
        <v>80</v>
      </c>
      <c r="B11" s="7" t="s">
        <v>74</v>
      </c>
      <c r="C11" s="7" t="s">
        <v>81</v>
      </c>
      <c r="D11" s="7" t="s">
        <v>82</v>
      </c>
      <c r="E11" s="7" t="s">
        <v>83</v>
      </c>
      <c r="F11" s="7" t="s">
        <v>84</v>
      </c>
      <c r="G11" s="7" t="s">
        <v>85</v>
      </c>
      <c r="H11" s="8" t="s">
        <v>27</v>
      </c>
    </row>
    <row r="12" customFormat="false" ht="23.85" hidden="false" customHeight="false" outlineLevel="0" collapsed="false">
      <c r="A12" s="7" t="s">
        <v>86</v>
      </c>
      <c r="B12" s="7" t="s">
        <v>74</v>
      </c>
      <c r="C12" s="7" t="s">
        <v>87</v>
      </c>
      <c r="D12" s="7" t="s">
        <v>88</v>
      </c>
      <c r="E12" s="7" t="s">
        <v>89</v>
      </c>
      <c r="F12" s="7" t="s">
        <v>90</v>
      </c>
      <c r="G12" s="7" t="s">
        <v>91</v>
      </c>
      <c r="H12" s="8" t="s">
        <v>27</v>
      </c>
    </row>
    <row r="13" customFormat="false" ht="23.85" hidden="false" customHeight="false" outlineLevel="0" collapsed="false">
      <c r="A13" s="7" t="s">
        <v>92</v>
      </c>
      <c r="B13" s="7" t="s">
        <v>74</v>
      </c>
      <c r="C13" s="7" t="s">
        <v>93</v>
      </c>
      <c r="D13" s="7" t="s">
        <v>94</v>
      </c>
      <c r="E13" s="7" t="s">
        <v>95</v>
      </c>
      <c r="F13" s="7" t="s">
        <v>96</v>
      </c>
      <c r="G13" s="7" t="s">
        <v>97</v>
      </c>
      <c r="H13" s="8" t="s">
        <v>27</v>
      </c>
    </row>
    <row r="14" customFormat="false" ht="23.85" hidden="false" customHeight="false" outlineLevel="0" collapsed="false">
      <c r="A14" s="7" t="s">
        <v>98</v>
      </c>
      <c r="B14" s="7" t="s">
        <v>74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103</v>
      </c>
      <c r="H14" s="8" t="s">
        <v>27</v>
      </c>
    </row>
    <row r="15" customFormat="false" ht="23.85" hidden="false" customHeight="false" outlineLevel="0" collapsed="false">
      <c r="A15" s="7" t="s">
        <v>104</v>
      </c>
      <c r="B15" s="7" t="s">
        <v>105</v>
      </c>
      <c r="C15" s="7" t="s">
        <v>106</v>
      </c>
      <c r="D15" s="7" t="s">
        <v>107</v>
      </c>
      <c r="E15" s="7" t="s">
        <v>108</v>
      </c>
      <c r="F15" s="7" t="s">
        <v>109</v>
      </c>
      <c r="G15" s="7" t="s">
        <v>110</v>
      </c>
      <c r="H15" s="8" t="s">
        <v>27</v>
      </c>
    </row>
    <row r="16" customFormat="false" ht="23.85" hidden="false" customHeight="false" outlineLevel="0" collapsed="false">
      <c r="A16" s="7" t="s">
        <v>111</v>
      </c>
      <c r="B16" s="7" t="s">
        <v>112</v>
      </c>
      <c r="C16" s="7" t="s">
        <v>113</v>
      </c>
      <c r="D16" s="7" t="s">
        <v>114</v>
      </c>
      <c r="E16" s="7" t="s">
        <v>115</v>
      </c>
      <c r="F16" s="7" t="s">
        <v>116</v>
      </c>
      <c r="G16" s="7" t="s">
        <v>117</v>
      </c>
      <c r="H16" s="8" t="s">
        <v>27</v>
      </c>
    </row>
    <row r="17" customFormat="false" ht="23.85" hidden="false" customHeight="false" outlineLevel="0" collapsed="false">
      <c r="A17" s="7" t="s">
        <v>118</v>
      </c>
      <c r="B17" s="7" t="s">
        <v>119</v>
      </c>
      <c r="C17" s="7" t="s">
        <v>120</v>
      </c>
      <c r="D17" s="7" t="s">
        <v>121</v>
      </c>
      <c r="E17" s="7" t="s">
        <v>122</v>
      </c>
      <c r="F17" s="7" t="s">
        <v>123</v>
      </c>
      <c r="G17" s="7" t="s">
        <v>124</v>
      </c>
      <c r="H17" s="8" t="s">
        <v>27</v>
      </c>
    </row>
    <row r="18" customFormat="false" ht="23.85" hidden="false" customHeight="false" outlineLevel="0" collapsed="false">
      <c r="A18" s="7" t="s">
        <v>125</v>
      </c>
      <c r="B18" s="7" t="s">
        <v>119</v>
      </c>
      <c r="C18" s="7" t="s">
        <v>126</v>
      </c>
      <c r="D18" s="7" t="s">
        <v>127</v>
      </c>
      <c r="E18" s="7" t="s">
        <v>128</v>
      </c>
      <c r="F18" s="7" t="s">
        <v>129</v>
      </c>
      <c r="G18" s="7" t="s">
        <v>130</v>
      </c>
      <c r="H18" s="8" t="s">
        <v>27</v>
      </c>
    </row>
    <row r="19" customFormat="false" ht="23.85" hidden="false" customHeight="false" outlineLevel="0" collapsed="false">
      <c r="A19" s="7" t="s">
        <v>131</v>
      </c>
      <c r="B19" s="7" t="s">
        <v>132</v>
      </c>
      <c r="C19" s="7" t="s">
        <v>133</v>
      </c>
      <c r="D19" s="7" t="s">
        <v>134</v>
      </c>
      <c r="E19" s="7" t="s">
        <v>135</v>
      </c>
      <c r="F19" s="7" t="s">
        <v>136</v>
      </c>
      <c r="G19" s="7" t="s">
        <v>137</v>
      </c>
      <c r="H19" s="8" t="s">
        <v>27</v>
      </c>
    </row>
    <row r="20" customFormat="false" ht="23.85" hidden="false" customHeight="false" outlineLevel="0" collapsed="false">
      <c r="A20" s="7" t="s">
        <v>138</v>
      </c>
      <c r="B20" s="7" t="s">
        <v>139</v>
      </c>
      <c r="C20" s="7" t="s">
        <v>140</v>
      </c>
      <c r="D20" s="7" t="s">
        <v>141</v>
      </c>
      <c r="E20" s="7" t="s">
        <v>142</v>
      </c>
      <c r="F20" s="7" t="s">
        <v>143</v>
      </c>
      <c r="G20" s="7" t="s">
        <v>144</v>
      </c>
      <c r="H20" s="8" t="s">
        <v>27</v>
      </c>
    </row>
    <row r="21" customFormat="false" ht="23.85" hidden="false" customHeight="false" outlineLevel="0" collapsed="false">
      <c r="A21" s="7" t="s">
        <v>145</v>
      </c>
      <c r="B21" s="7" t="s">
        <v>146</v>
      </c>
      <c r="C21" s="7" t="s">
        <v>147</v>
      </c>
      <c r="D21" s="7" t="s">
        <v>148</v>
      </c>
      <c r="E21" s="7" t="s">
        <v>149</v>
      </c>
      <c r="F21" s="7" t="s">
        <v>150</v>
      </c>
      <c r="G21" s="7" t="s">
        <v>151</v>
      </c>
      <c r="H21" s="8" t="s">
        <v>27</v>
      </c>
    </row>
  </sheetData>
  <autoFilter ref="A1:H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4"/>
    <col collapsed="false" customWidth="true" hidden="false" outlineLevel="0" max="7" min="7" style="0" width="52"/>
  </cols>
  <sheetData>
    <row r="1" customFormat="false" ht="23.85" hidden="false" customHeight="false" outlineLevel="0" collapsed="false">
      <c r="A1" s="6" t="s">
        <v>14</v>
      </c>
      <c r="B1" s="6" t="s">
        <v>152</v>
      </c>
      <c r="C1" s="6" t="s">
        <v>153</v>
      </c>
      <c r="D1" s="6" t="s">
        <v>154</v>
      </c>
      <c r="E1" s="6" t="s">
        <v>155</v>
      </c>
      <c r="F1" s="6" t="s">
        <v>156</v>
      </c>
      <c r="G1" s="6" t="s">
        <v>157</v>
      </c>
    </row>
    <row r="2" customFormat="false" ht="23.85" hidden="false" customHeight="false" outlineLevel="0" collapsed="false">
      <c r="A2" s="7" t="s">
        <v>48</v>
      </c>
      <c r="B2" s="7" t="n">
        <v>1</v>
      </c>
      <c r="C2" s="7" t="s">
        <v>158</v>
      </c>
      <c r="D2" s="7" t="s">
        <v>159</v>
      </c>
      <c r="E2" s="7" t="s">
        <v>160</v>
      </c>
      <c r="F2" s="7" t="s">
        <v>161</v>
      </c>
      <c r="G2" s="7" t="s">
        <v>162</v>
      </c>
    </row>
    <row r="3" customFormat="false" ht="15" hidden="false" customHeight="false" outlineLevel="0" collapsed="false">
      <c r="A3" s="7" t="s">
        <v>48</v>
      </c>
      <c r="B3" s="7" t="n">
        <v>2</v>
      </c>
      <c r="C3" s="7" t="s">
        <v>163</v>
      </c>
      <c r="D3" s="7" t="s">
        <v>159</v>
      </c>
      <c r="E3" s="7" t="s">
        <v>164</v>
      </c>
      <c r="F3" s="7" t="s">
        <v>165</v>
      </c>
      <c r="G3" s="7" t="s">
        <v>166</v>
      </c>
    </row>
    <row r="4" customFormat="false" ht="15" hidden="false" customHeight="false" outlineLevel="0" collapsed="false">
      <c r="A4" s="7" t="s">
        <v>48</v>
      </c>
      <c r="B4" s="7" t="n">
        <v>3</v>
      </c>
      <c r="C4" s="7" t="s">
        <v>167</v>
      </c>
      <c r="D4" s="7" t="s">
        <v>159</v>
      </c>
      <c r="E4" s="7" t="s">
        <v>164</v>
      </c>
      <c r="F4" s="7" t="s">
        <v>168</v>
      </c>
      <c r="G4" s="7" t="s">
        <v>169</v>
      </c>
    </row>
    <row r="5" customFormat="false" ht="23.85" hidden="false" customHeight="false" outlineLevel="0" collapsed="false">
      <c r="A5" s="7" t="s">
        <v>48</v>
      </c>
      <c r="B5" s="7" t="n">
        <v>4</v>
      </c>
      <c r="C5" s="7" t="s">
        <v>170</v>
      </c>
      <c r="D5" s="7" t="s">
        <v>159</v>
      </c>
      <c r="E5" s="7" t="s">
        <v>171</v>
      </c>
      <c r="F5" s="7" t="s">
        <v>172</v>
      </c>
      <c r="G5" s="7" t="s">
        <v>173</v>
      </c>
    </row>
    <row r="6" customFormat="false" ht="15" hidden="false" customHeight="false" outlineLevel="0" collapsed="false">
      <c r="A6" s="7" t="s">
        <v>48</v>
      </c>
      <c r="B6" s="7" t="n">
        <v>5</v>
      </c>
      <c r="C6" s="7" t="s">
        <v>174</v>
      </c>
      <c r="D6" s="7" t="s">
        <v>175</v>
      </c>
      <c r="E6" s="7" t="s">
        <v>164</v>
      </c>
      <c r="F6" s="7" t="s">
        <v>176</v>
      </c>
      <c r="G6" s="7" t="s">
        <v>177</v>
      </c>
    </row>
    <row r="7" customFormat="false" ht="15" hidden="false" customHeight="false" outlineLevel="0" collapsed="false">
      <c r="A7" s="7" t="s">
        <v>48</v>
      </c>
      <c r="B7" s="7" t="n">
        <v>6</v>
      </c>
      <c r="C7" s="7" t="s">
        <v>178</v>
      </c>
      <c r="D7" s="7" t="s">
        <v>179</v>
      </c>
      <c r="E7" s="7" t="s">
        <v>164</v>
      </c>
      <c r="F7" s="7" t="s">
        <v>180</v>
      </c>
      <c r="G7" s="7" t="s">
        <v>181</v>
      </c>
    </row>
    <row r="8" customFormat="false" ht="23.85" hidden="false" customHeight="false" outlineLevel="0" collapsed="false">
      <c r="A8" s="7" t="s">
        <v>48</v>
      </c>
      <c r="B8" s="7" t="n">
        <v>7</v>
      </c>
      <c r="C8" s="7" t="s">
        <v>182</v>
      </c>
      <c r="D8" s="7" t="s">
        <v>175</v>
      </c>
      <c r="E8" s="7" t="s">
        <v>164</v>
      </c>
      <c r="F8" s="7" t="s">
        <v>183</v>
      </c>
      <c r="G8" s="7" t="s">
        <v>184</v>
      </c>
    </row>
    <row r="9" customFormat="false" ht="15" hidden="false" customHeight="false" outlineLevel="0" collapsed="false">
      <c r="A9" s="7" t="s">
        <v>56</v>
      </c>
      <c r="B9" s="7" t="n">
        <v>1</v>
      </c>
      <c r="C9" s="7" t="s">
        <v>185</v>
      </c>
      <c r="D9" s="7" t="s">
        <v>175</v>
      </c>
      <c r="E9" s="7" t="s">
        <v>160</v>
      </c>
      <c r="F9" s="7" t="s">
        <v>186</v>
      </c>
      <c r="G9" s="7" t="s">
        <v>187</v>
      </c>
    </row>
    <row r="10" customFormat="false" ht="15" hidden="false" customHeight="false" outlineLevel="0" collapsed="false">
      <c r="A10" s="7" t="s">
        <v>56</v>
      </c>
      <c r="B10" s="7" t="n">
        <v>2</v>
      </c>
      <c r="C10" s="7" t="s">
        <v>188</v>
      </c>
      <c r="D10" s="7" t="s">
        <v>189</v>
      </c>
      <c r="E10" s="7" t="s">
        <v>164</v>
      </c>
      <c r="F10" s="7" t="s">
        <v>190</v>
      </c>
      <c r="G10" s="7" t="s">
        <v>191</v>
      </c>
    </row>
    <row r="11" customFormat="false" ht="15" hidden="false" customHeight="false" outlineLevel="0" collapsed="false">
      <c r="A11" s="7" t="s">
        <v>56</v>
      </c>
      <c r="B11" s="7" t="n">
        <v>3</v>
      </c>
      <c r="C11" s="7" t="s">
        <v>182</v>
      </c>
      <c r="D11" s="7" t="s">
        <v>175</v>
      </c>
      <c r="E11" s="7" t="s">
        <v>164</v>
      </c>
      <c r="F11" s="7" t="s">
        <v>183</v>
      </c>
      <c r="G11" s="7" t="s">
        <v>192</v>
      </c>
    </row>
    <row r="12" customFormat="false" ht="15" hidden="false" customHeight="false" outlineLevel="0" collapsed="false">
      <c r="A12" s="7" t="s">
        <v>75</v>
      </c>
      <c r="B12" s="7" t="n">
        <v>1</v>
      </c>
      <c r="C12" s="7" t="s">
        <v>193</v>
      </c>
      <c r="D12" s="7" t="s">
        <v>159</v>
      </c>
      <c r="E12" s="7" t="s">
        <v>164</v>
      </c>
      <c r="F12" s="7" t="s">
        <v>194</v>
      </c>
      <c r="G12" s="7" t="s">
        <v>195</v>
      </c>
    </row>
    <row r="13" customFormat="false" ht="15" hidden="false" customHeight="false" outlineLevel="0" collapsed="false">
      <c r="A13" s="7" t="s">
        <v>75</v>
      </c>
      <c r="B13" s="7" t="n">
        <v>2</v>
      </c>
      <c r="C13" s="7" t="s">
        <v>196</v>
      </c>
      <c r="D13" s="7" t="s">
        <v>175</v>
      </c>
      <c r="E13" s="7" t="s">
        <v>164</v>
      </c>
      <c r="F13" s="7" t="s">
        <v>197</v>
      </c>
      <c r="G13" s="7" t="s">
        <v>198</v>
      </c>
    </row>
    <row r="14" customFormat="false" ht="15" hidden="false" customHeight="false" outlineLevel="0" collapsed="false">
      <c r="A14" s="7" t="s">
        <v>87</v>
      </c>
      <c r="B14" s="7" t="n">
        <v>1</v>
      </c>
      <c r="C14" s="7" t="s">
        <v>199</v>
      </c>
      <c r="D14" s="7" t="s">
        <v>159</v>
      </c>
      <c r="E14" s="7" t="s">
        <v>164</v>
      </c>
      <c r="F14" s="7" t="s">
        <v>200</v>
      </c>
      <c r="G14" s="7" t="s">
        <v>201</v>
      </c>
    </row>
    <row r="15" customFormat="false" ht="15" hidden="false" customHeight="false" outlineLevel="0" collapsed="false">
      <c r="A15" s="7" t="s">
        <v>87</v>
      </c>
      <c r="B15" s="7" t="n">
        <v>2</v>
      </c>
      <c r="C15" s="7" t="s">
        <v>202</v>
      </c>
      <c r="D15" s="7" t="s">
        <v>175</v>
      </c>
      <c r="E15" s="7" t="s">
        <v>164</v>
      </c>
      <c r="F15" s="7" t="s">
        <v>203</v>
      </c>
      <c r="G15" s="7" t="s">
        <v>204</v>
      </c>
    </row>
    <row r="16" customFormat="false" ht="15" hidden="false" customHeight="false" outlineLevel="0" collapsed="false">
      <c r="A16" s="7" t="s">
        <v>68</v>
      </c>
      <c r="B16" s="7" t="n">
        <v>1</v>
      </c>
      <c r="C16" s="7" t="s">
        <v>205</v>
      </c>
      <c r="D16" s="7" t="s">
        <v>159</v>
      </c>
      <c r="E16" s="7" t="s">
        <v>164</v>
      </c>
      <c r="F16" s="7" t="s">
        <v>206</v>
      </c>
      <c r="G16" s="7" t="s">
        <v>207</v>
      </c>
    </row>
    <row r="17" customFormat="false" ht="15" hidden="false" customHeight="false" outlineLevel="0" collapsed="false">
      <c r="A17" s="7" t="s">
        <v>68</v>
      </c>
      <c r="B17" s="7" t="n">
        <v>2</v>
      </c>
      <c r="C17" s="7" t="s">
        <v>208</v>
      </c>
      <c r="D17" s="7" t="s">
        <v>159</v>
      </c>
      <c r="E17" s="7" t="s">
        <v>164</v>
      </c>
      <c r="F17" s="7" t="s">
        <v>209</v>
      </c>
      <c r="G17" s="7" t="s">
        <v>210</v>
      </c>
    </row>
    <row r="18" customFormat="false" ht="15" hidden="false" customHeight="false" outlineLevel="0" collapsed="false">
      <c r="A18" s="7" t="s">
        <v>93</v>
      </c>
      <c r="B18" s="7" t="n">
        <v>1</v>
      </c>
      <c r="C18" s="7" t="s">
        <v>211</v>
      </c>
      <c r="D18" s="7" t="s">
        <v>159</v>
      </c>
      <c r="E18" s="7" t="s">
        <v>164</v>
      </c>
      <c r="F18" s="7" t="s">
        <v>212</v>
      </c>
      <c r="G18" s="7" t="s">
        <v>213</v>
      </c>
    </row>
    <row r="19" customFormat="false" ht="15" hidden="false" customHeight="false" outlineLevel="0" collapsed="false">
      <c r="A19" s="7" t="s">
        <v>93</v>
      </c>
      <c r="B19" s="7" t="n">
        <v>2</v>
      </c>
      <c r="C19" s="7" t="s">
        <v>214</v>
      </c>
      <c r="D19" s="7" t="s">
        <v>175</v>
      </c>
      <c r="E19" s="7" t="s">
        <v>164</v>
      </c>
      <c r="F19" s="7" t="s">
        <v>215</v>
      </c>
      <c r="G19" s="7" t="s">
        <v>216</v>
      </c>
    </row>
    <row r="20" customFormat="false" ht="15" hidden="false" customHeight="false" outlineLevel="0" collapsed="false">
      <c r="A20" s="7" t="s">
        <v>22</v>
      </c>
      <c r="B20" s="7" t="n">
        <v>1</v>
      </c>
      <c r="C20" s="7" t="s">
        <v>217</v>
      </c>
      <c r="D20" s="7" t="s">
        <v>218</v>
      </c>
      <c r="E20" s="7" t="s">
        <v>164</v>
      </c>
      <c r="F20" s="7" t="s">
        <v>219</v>
      </c>
      <c r="G20" s="7" t="s">
        <v>220</v>
      </c>
    </row>
    <row r="21" customFormat="false" ht="15" hidden="false" customHeight="false" outlineLevel="0" collapsed="false">
      <c r="A21" s="7" t="s">
        <v>22</v>
      </c>
      <c r="B21" s="7" t="n">
        <v>2</v>
      </c>
      <c r="C21" s="7" t="s">
        <v>221</v>
      </c>
      <c r="D21" s="7" t="s">
        <v>159</v>
      </c>
      <c r="E21" s="7" t="s">
        <v>164</v>
      </c>
      <c r="F21" s="7" t="s">
        <v>222</v>
      </c>
      <c r="G21" s="7" t="s">
        <v>223</v>
      </c>
    </row>
    <row r="22" customFormat="false" ht="15" hidden="false" customHeight="false" outlineLevel="0" collapsed="false">
      <c r="A22" s="7" t="s">
        <v>22</v>
      </c>
      <c r="B22" s="7" t="n">
        <v>3</v>
      </c>
      <c r="C22" s="7" t="s">
        <v>224</v>
      </c>
      <c r="D22" s="7" t="s">
        <v>159</v>
      </c>
      <c r="E22" s="7" t="s">
        <v>164</v>
      </c>
      <c r="F22" s="7" t="s">
        <v>225</v>
      </c>
      <c r="G22" s="7" t="s">
        <v>226</v>
      </c>
    </row>
    <row r="23" customFormat="false" ht="15" hidden="false" customHeight="false" outlineLevel="0" collapsed="false">
      <c r="A23" s="7" t="s">
        <v>112</v>
      </c>
      <c r="B23" s="7" t="n">
        <v>1</v>
      </c>
      <c r="C23" s="7" t="s">
        <v>227</v>
      </c>
      <c r="D23" s="7" t="s">
        <v>159</v>
      </c>
      <c r="E23" s="7" t="s">
        <v>164</v>
      </c>
      <c r="F23" s="7" t="s">
        <v>228</v>
      </c>
      <c r="G23" s="7" t="s">
        <v>229</v>
      </c>
    </row>
    <row r="24" customFormat="false" ht="15" hidden="false" customHeight="false" outlineLevel="0" collapsed="false">
      <c r="A24" s="7" t="s">
        <v>112</v>
      </c>
      <c r="B24" s="7" t="n">
        <v>2</v>
      </c>
      <c r="C24" s="7" t="s">
        <v>230</v>
      </c>
      <c r="D24" s="7" t="s">
        <v>175</v>
      </c>
      <c r="E24" s="7" t="s">
        <v>164</v>
      </c>
      <c r="F24" s="7" t="s">
        <v>231</v>
      </c>
      <c r="G24" s="7" t="s">
        <v>232</v>
      </c>
    </row>
    <row r="25" customFormat="false" ht="15" hidden="false" customHeight="false" outlineLevel="0" collapsed="false">
      <c r="A25" s="7" t="s">
        <v>112</v>
      </c>
      <c r="B25" s="7" t="n">
        <v>3</v>
      </c>
      <c r="C25" s="7" t="s">
        <v>233</v>
      </c>
      <c r="D25" s="7" t="s">
        <v>175</v>
      </c>
      <c r="E25" s="7" t="s">
        <v>164</v>
      </c>
      <c r="F25" s="7" t="s">
        <v>234</v>
      </c>
      <c r="G25" s="7" t="s">
        <v>235</v>
      </c>
    </row>
    <row r="26" customFormat="false" ht="15" hidden="false" customHeight="false" outlineLevel="0" collapsed="false">
      <c r="A26" s="7" t="s">
        <v>112</v>
      </c>
      <c r="B26" s="7" t="n">
        <v>4</v>
      </c>
      <c r="C26" s="7" t="s">
        <v>236</v>
      </c>
      <c r="D26" s="7" t="s">
        <v>175</v>
      </c>
      <c r="E26" s="7" t="s">
        <v>164</v>
      </c>
      <c r="F26" s="7" t="s">
        <v>237</v>
      </c>
      <c r="G26" s="7" t="s">
        <v>238</v>
      </c>
    </row>
    <row r="27" customFormat="false" ht="15" hidden="false" customHeight="false" outlineLevel="0" collapsed="false">
      <c r="A27" s="7" t="s">
        <v>132</v>
      </c>
      <c r="B27" s="7" t="n">
        <v>1</v>
      </c>
      <c r="C27" s="7" t="s">
        <v>239</v>
      </c>
      <c r="D27" s="7" t="s">
        <v>159</v>
      </c>
      <c r="E27" s="7" t="s">
        <v>164</v>
      </c>
      <c r="F27" s="7" t="s">
        <v>240</v>
      </c>
      <c r="G27" s="7" t="s">
        <v>241</v>
      </c>
    </row>
    <row r="28" customFormat="false" ht="15" hidden="false" customHeight="false" outlineLevel="0" collapsed="false">
      <c r="A28" s="7" t="s">
        <v>132</v>
      </c>
      <c r="B28" s="7" t="n">
        <v>2</v>
      </c>
      <c r="C28" s="7" t="s">
        <v>242</v>
      </c>
      <c r="D28" s="7" t="s">
        <v>175</v>
      </c>
      <c r="E28" s="7" t="s">
        <v>164</v>
      </c>
      <c r="F28" s="7" t="s">
        <v>243</v>
      </c>
      <c r="G28" s="7" t="s">
        <v>244</v>
      </c>
    </row>
    <row r="29" customFormat="false" ht="15" hidden="false" customHeight="false" outlineLevel="0" collapsed="false">
      <c r="A29" s="7" t="s">
        <v>132</v>
      </c>
      <c r="B29" s="7" t="n">
        <v>3</v>
      </c>
      <c r="C29" s="7" t="s">
        <v>245</v>
      </c>
      <c r="D29" s="7" t="s">
        <v>175</v>
      </c>
      <c r="E29" s="7" t="s">
        <v>164</v>
      </c>
      <c r="F29" s="7" t="s">
        <v>246</v>
      </c>
      <c r="G29" s="7" t="s">
        <v>247</v>
      </c>
    </row>
    <row r="30" customFormat="false" ht="23.85" hidden="false" customHeight="false" outlineLevel="0" collapsed="false">
      <c r="A30" s="7" t="s">
        <v>132</v>
      </c>
      <c r="B30" s="7" t="n">
        <v>4</v>
      </c>
      <c r="C30" s="7" t="s">
        <v>248</v>
      </c>
      <c r="D30" s="7" t="s">
        <v>175</v>
      </c>
      <c r="E30" s="7" t="s">
        <v>164</v>
      </c>
      <c r="F30" s="7" t="s">
        <v>249</v>
      </c>
      <c r="G30" s="7" t="s">
        <v>250</v>
      </c>
    </row>
  </sheetData>
  <autoFilter ref="A1:G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6" t="s">
        <v>251</v>
      </c>
      <c r="B1" s="6" t="s">
        <v>252</v>
      </c>
      <c r="C1" s="6" t="s">
        <v>253</v>
      </c>
      <c r="D1" s="6" t="s">
        <v>156</v>
      </c>
    </row>
    <row r="2" customFormat="false" ht="15" hidden="false" customHeight="false" outlineLevel="0" collapsed="false">
      <c r="A2" s="7" t="s">
        <v>254</v>
      </c>
      <c r="B2" s="10" t="s">
        <v>255</v>
      </c>
      <c r="C2" s="7" t="s">
        <v>256</v>
      </c>
      <c r="D2" s="7" t="s">
        <v>165</v>
      </c>
    </row>
    <row r="3" customFormat="false" ht="15" hidden="false" customHeight="false" outlineLevel="0" collapsed="false">
      <c r="A3" s="7" t="s">
        <v>257</v>
      </c>
      <c r="B3" s="10" t="s">
        <v>255</v>
      </c>
      <c r="C3" s="7" t="s">
        <v>256</v>
      </c>
      <c r="D3" s="7" t="s">
        <v>168</v>
      </c>
    </row>
    <row r="4" customFormat="false" ht="15" hidden="false" customHeight="false" outlineLevel="0" collapsed="false">
      <c r="A4" s="7" t="s">
        <v>258</v>
      </c>
      <c r="B4" s="10" t="s">
        <v>255</v>
      </c>
      <c r="C4" s="7" t="s">
        <v>256</v>
      </c>
      <c r="D4" s="7" t="s">
        <v>194</v>
      </c>
    </row>
    <row r="5" customFormat="false" ht="15" hidden="false" customHeight="false" outlineLevel="0" collapsed="false">
      <c r="A5" s="7" t="s">
        <v>259</v>
      </c>
      <c r="B5" s="10" t="s">
        <v>255</v>
      </c>
      <c r="C5" s="7" t="s">
        <v>256</v>
      </c>
      <c r="D5" s="7" t="s">
        <v>240</v>
      </c>
    </row>
    <row r="6" customFormat="false" ht="15" hidden="false" customHeight="false" outlineLevel="0" collapsed="false">
      <c r="A6" s="7" t="s">
        <v>260</v>
      </c>
      <c r="B6" s="10" t="s">
        <v>255</v>
      </c>
      <c r="C6" s="7" t="s">
        <v>256</v>
      </c>
      <c r="D6" s="7" t="s">
        <v>200</v>
      </c>
    </row>
    <row r="7" customFormat="false" ht="15" hidden="false" customHeight="false" outlineLevel="0" collapsed="false">
      <c r="A7" s="7" t="s">
        <v>261</v>
      </c>
      <c r="B7" s="10" t="s">
        <v>255</v>
      </c>
      <c r="C7" s="7" t="s">
        <v>256</v>
      </c>
      <c r="D7" s="7" t="s">
        <v>262</v>
      </c>
    </row>
    <row r="8" customFormat="false" ht="15" hidden="false" customHeight="false" outlineLevel="0" collapsed="false">
      <c r="A8" s="7" t="s">
        <v>263</v>
      </c>
      <c r="B8" s="11" t="s">
        <v>264</v>
      </c>
      <c r="C8" s="7" t="s">
        <v>265</v>
      </c>
      <c r="D8" s="7" t="s">
        <v>176</v>
      </c>
    </row>
    <row r="9" customFormat="false" ht="15" hidden="false" customHeight="false" outlineLevel="0" collapsed="false">
      <c r="A9" s="7" t="s">
        <v>266</v>
      </c>
      <c r="B9" s="11" t="s">
        <v>264</v>
      </c>
      <c r="C9" s="7" t="s">
        <v>265</v>
      </c>
      <c r="D9" s="7" t="s">
        <v>180</v>
      </c>
    </row>
    <row r="10" customFormat="false" ht="15" hidden="false" customHeight="false" outlineLevel="0" collapsed="false">
      <c r="A10" s="7" t="s">
        <v>182</v>
      </c>
      <c r="B10" s="11" t="s">
        <v>264</v>
      </c>
      <c r="C10" s="7" t="s">
        <v>267</v>
      </c>
      <c r="D10" s="7" t="s">
        <v>183</v>
      </c>
    </row>
    <row r="11" customFormat="false" ht="15" hidden="false" customHeight="false" outlineLevel="0" collapsed="false">
      <c r="A11" s="7" t="s">
        <v>268</v>
      </c>
      <c r="B11" s="11" t="s">
        <v>264</v>
      </c>
      <c r="C11" s="7" t="s">
        <v>269</v>
      </c>
      <c r="D11" s="7" t="s">
        <v>270</v>
      </c>
    </row>
    <row r="12" customFormat="false" ht="15" hidden="false" customHeight="false" outlineLevel="0" collapsed="false">
      <c r="A12" s="7" t="s">
        <v>271</v>
      </c>
      <c r="B12" s="11" t="s">
        <v>264</v>
      </c>
      <c r="C12" s="7" t="s">
        <v>272</v>
      </c>
      <c r="D12" s="7" t="s">
        <v>273</v>
      </c>
    </row>
    <row r="13" customFormat="false" ht="15" hidden="false" customHeight="false" outlineLevel="0" collapsed="false">
      <c r="A13" s="7" t="s">
        <v>274</v>
      </c>
      <c r="B13" s="11" t="s">
        <v>264</v>
      </c>
      <c r="C13" s="7" t="s">
        <v>275</v>
      </c>
      <c r="D13" s="7" t="s">
        <v>243</v>
      </c>
    </row>
    <row r="14" customFormat="false" ht="15" hidden="false" customHeight="false" outlineLevel="0" collapsed="false">
      <c r="A14" s="7" t="s">
        <v>276</v>
      </c>
      <c r="B14" s="11" t="s">
        <v>264</v>
      </c>
      <c r="C14" s="7" t="s">
        <v>277</v>
      </c>
      <c r="D14" s="7" t="s">
        <v>278</v>
      </c>
    </row>
    <row r="15" customFormat="false" ht="15" hidden="false" customHeight="false" outlineLevel="0" collapsed="false">
      <c r="A15" s="7" t="s">
        <v>279</v>
      </c>
      <c r="B15" s="11" t="s">
        <v>264</v>
      </c>
      <c r="C15" s="7" t="s">
        <v>280</v>
      </c>
      <c r="D15" s="7" t="s">
        <v>281</v>
      </c>
    </row>
    <row r="16" customFormat="false" ht="15" hidden="false" customHeight="false" outlineLevel="0" collapsed="false">
      <c r="A16" s="7" t="s">
        <v>196</v>
      </c>
      <c r="B16" s="11" t="s">
        <v>264</v>
      </c>
      <c r="C16" s="7" t="s">
        <v>282</v>
      </c>
      <c r="D16" s="7" t="s">
        <v>197</v>
      </c>
    </row>
    <row r="17" customFormat="false" ht="15" hidden="false" customHeight="false" outlineLevel="0" collapsed="false">
      <c r="A17" s="7" t="s">
        <v>283</v>
      </c>
      <c r="B17" s="11" t="s">
        <v>264</v>
      </c>
      <c r="C17" s="7" t="s">
        <v>284</v>
      </c>
      <c r="D17" s="7" t="s">
        <v>234</v>
      </c>
    </row>
    <row r="18" customFormat="false" ht="15" hidden="false" customHeight="false" outlineLevel="0" collapsed="false">
      <c r="A18" s="7" t="s">
        <v>214</v>
      </c>
      <c r="B18" s="11" t="s">
        <v>264</v>
      </c>
      <c r="C18" s="7" t="s">
        <v>285</v>
      </c>
      <c r="D18" s="7" t="s">
        <v>215</v>
      </c>
    </row>
    <row r="19" customFormat="false" ht="15" hidden="false" customHeight="false" outlineLevel="0" collapsed="false">
      <c r="A19" s="7" t="s">
        <v>286</v>
      </c>
      <c r="B19" s="12" t="s">
        <v>287</v>
      </c>
      <c r="C19" s="7" t="s">
        <v>288</v>
      </c>
      <c r="D19" s="7" t="s">
        <v>289</v>
      </c>
    </row>
    <row r="20" customFormat="false" ht="15" hidden="false" customHeight="false" outlineLevel="0" collapsed="false">
      <c r="A20" s="7" t="s">
        <v>290</v>
      </c>
      <c r="B20" s="12" t="s">
        <v>287</v>
      </c>
      <c r="C20" s="7" t="s">
        <v>291</v>
      </c>
      <c r="D20" s="7" t="s">
        <v>246</v>
      </c>
    </row>
    <row r="21" customFormat="false" ht="15" hidden="false" customHeight="false" outlineLevel="0" collapsed="false">
      <c r="A21" s="7" t="s">
        <v>236</v>
      </c>
      <c r="B21" s="12" t="s">
        <v>287</v>
      </c>
      <c r="C21" s="7" t="s">
        <v>292</v>
      </c>
      <c r="D21" s="7" t="s">
        <v>237</v>
      </c>
    </row>
    <row r="22" customFormat="false" ht="15" hidden="false" customHeight="false" outlineLevel="0" collapsed="false">
      <c r="A22" s="7" t="s">
        <v>293</v>
      </c>
      <c r="B22" s="12" t="s">
        <v>287</v>
      </c>
      <c r="C22" s="7" t="s">
        <v>294</v>
      </c>
      <c r="D22" s="7" t="s">
        <v>289</v>
      </c>
    </row>
  </sheetData>
  <autoFilter ref="A1: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12"/>
    <col collapsed="false" customWidth="true" hidden="false" outlineLevel="0" max="10" min="10" style="0" width="10"/>
  </cols>
  <sheetData>
    <row r="1" customFormat="false" ht="23.85" hidden="false" customHeight="false" outlineLevel="0" collapsed="false">
      <c r="A1" s="6" t="s">
        <v>13</v>
      </c>
      <c r="B1" s="6" t="s">
        <v>15</v>
      </c>
      <c r="C1" s="6" t="s">
        <v>295</v>
      </c>
      <c r="D1" s="6" t="s">
        <v>287</v>
      </c>
      <c r="E1" s="6" t="s">
        <v>17</v>
      </c>
      <c r="F1" s="6" t="s">
        <v>156</v>
      </c>
      <c r="G1" s="6" t="s">
        <v>296</v>
      </c>
      <c r="H1" s="6" t="s">
        <v>18</v>
      </c>
      <c r="I1" s="6" t="s">
        <v>19</v>
      </c>
      <c r="J1" s="6" t="s">
        <v>297</v>
      </c>
    </row>
    <row r="2" customFormat="false" ht="15" hidden="false" customHeight="false" outlineLevel="0" collapsed="false">
      <c r="A2" s="7" t="s">
        <v>21</v>
      </c>
      <c r="B2" s="7" t="s">
        <v>298</v>
      </c>
      <c r="C2" s="7" t="s">
        <v>299</v>
      </c>
      <c r="D2" s="7" t="s">
        <v>300</v>
      </c>
      <c r="E2" s="7" t="s">
        <v>301</v>
      </c>
      <c r="F2" s="7" t="s">
        <v>219</v>
      </c>
      <c r="G2" s="7" t="s">
        <v>302</v>
      </c>
      <c r="H2" s="7" t="s">
        <v>303</v>
      </c>
      <c r="I2" s="8" t="s">
        <v>27</v>
      </c>
      <c r="J2" s="13" t="s">
        <v>304</v>
      </c>
    </row>
    <row r="3" customFormat="false" ht="15" hidden="false" customHeight="false" outlineLevel="0" collapsed="false">
      <c r="A3" s="7" t="s">
        <v>21</v>
      </c>
      <c r="B3" s="7" t="s">
        <v>305</v>
      </c>
      <c r="C3" s="7" t="s">
        <v>306</v>
      </c>
      <c r="D3" s="7" t="s">
        <v>307</v>
      </c>
      <c r="E3" s="7" t="s">
        <v>308</v>
      </c>
      <c r="F3" s="7" t="s">
        <v>262</v>
      </c>
      <c r="G3" s="7" t="s">
        <v>302</v>
      </c>
      <c r="H3" s="7" t="s">
        <v>309</v>
      </c>
      <c r="I3" s="9" t="s">
        <v>40</v>
      </c>
      <c r="J3" s="8" t="s">
        <v>310</v>
      </c>
    </row>
    <row r="4" customFormat="false" ht="15" hidden="false" customHeight="false" outlineLevel="0" collapsed="false">
      <c r="A4" s="7" t="s">
        <v>21</v>
      </c>
      <c r="B4" s="7" t="s">
        <v>311</v>
      </c>
      <c r="C4" s="7" t="s">
        <v>312</v>
      </c>
      <c r="D4" s="7" t="s">
        <v>172</v>
      </c>
      <c r="E4" s="7" t="s">
        <v>313</v>
      </c>
      <c r="F4" s="7" t="s">
        <v>314</v>
      </c>
      <c r="G4" s="7" t="s">
        <v>315</v>
      </c>
      <c r="H4" s="7" t="s">
        <v>316</v>
      </c>
      <c r="I4" s="9" t="s">
        <v>40</v>
      </c>
      <c r="J4" s="12" t="s">
        <v>317</v>
      </c>
    </row>
    <row r="5" customFormat="false" ht="15" hidden="false" customHeight="false" outlineLevel="0" collapsed="false">
      <c r="A5" s="7" t="s">
        <v>21</v>
      </c>
      <c r="B5" s="7" t="s">
        <v>318</v>
      </c>
      <c r="C5" s="7" t="s">
        <v>319</v>
      </c>
      <c r="D5" s="7" t="s">
        <v>320</v>
      </c>
      <c r="E5" s="7" t="s">
        <v>321</v>
      </c>
      <c r="F5" s="7" t="s">
        <v>222</v>
      </c>
      <c r="G5" s="7" t="s">
        <v>315</v>
      </c>
      <c r="H5" s="7" t="s">
        <v>322</v>
      </c>
      <c r="I5" s="9" t="s">
        <v>40</v>
      </c>
      <c r="J5" s="8" t="s">
        <v>310</v>
      </c>
    </row>
    <row r="6" customFormat="false" ht="15" hidden="false" customHeight="false" outlineLevel="0" collapsed="false">
      <c r="A6" s="7" t="s">
        <v>21</v>
      </c>
      <c r="B6" s="7" t="s">
        <v>323</v>
      </c>
      <c r="C6" s="7" t="s">
        <v>324</v>
      </c>
      <c r="D6" s="7" t="s">
        <v>325</v>
      </c>
      <c r="E6" s="7" t="s">
        <v>326</v>
      </c>
      <c r="F6" s="7" t="s">
        <v>225</v>
      </c>
      <c r="G6" s="7" t="s">
        <v>302</v>
      </c>
      <c r="H6" s="7" t="s">
        <v>327</v>
      </c>
      <c r="I6" s="9" t="s">
        <v>40</v>
      </c>
      <c r="J6" s="8" t="s">
        <v>310</v>
      </c>
    </row>
    <row r="7" customFormat="false" ht="15" hidden="false" customHeight="false" outlineLevel="0" collapsed="false">
      <c r="A7" s="7" t="s">
        <v>48</v>
      </c>
      <c r="B7" s="7" t="s">
        <v>328</v>
      </c>
      <c r="C7" s="7" t="s">
        <v>172</v>
      </c>
      <c r="D7" s="7" t="s">
        <v>329</v>
      </c>
      <c r="E7" s="7" t="s">
        <v>330</v>
      </c>
      <c r="F7" s="7" t="s">
        <v>161</v>
      </c>
      <c r="G7" s="7" t="s">
        <v>315</v>
      </c>
      <c r="H7" s="7" t="s">
        <v>331</v>
      </c>
      <c r="I7" s="9" t="s">
        <v>40</v>
      </c>
      <c r="J7" s="9" t="s">
        <v>332</v>
      </c>
    </row>
    <row r="8" customFormat="false" ht="15" hidden="false" customHeight="false" outlineLevel="0" collapsed="false">
      <c r="A8" s="7" t="s">
        <v>48</v>
      </c>
      <c r="B8" s="7" t="s">
        <v>333</v>
      </c>
      <c r="C8" s="7" t="s">
        <v>172</v>
      </c>
      <c r="D8" s="7" t="s">
        <v>334</v>
      </c>
      <c r="E8" s="7" t="s">
        <v>335</v>
      </c>
      <c r="F8" s="7" t="s">
        <v>165</v>
      </c>
      <c r="G8" s="7" t="s">
        <v>315</v>
      </c>
      <c r="H8" s="7" t="s">
        <v>336</v>
      </c>
      <c r="I8" s="9" t="s">
        <v>40</v>
      </c>
      <c r="J8" s="9" t="s">
        <v>332</v>
      </c>
    </row>
    <row r="9" customFormat="false" ht="15" hidden="false" customHeight="false" outlineLevel="0" collapsed="false">
      <c r="A9" s="7" t="s">
        <v>48</v>
      </c>
      <c r="B9" s="7" t="s">
        <v>337</v>
      </c>
      <c r="C9" s="7" t="s">
        <v>338</v>
      </c>
      <c r="D9" s="7" t="s">
        <v>339</v>
      </c>
      <c r="E9" s="7" t="s">
        <v>340</v>
      </c>
      <c r="F9" s="7" t="s">
        <v>168</v>
      </c>
      <c r="G9" s="7" t="s">
        <v>302</v>
      </c>
      <c r="H9" s="7" t="s">
        <v>341</v>
      </c>
      <c r="I9" s="9" t="s">
        <v>40</v>
      </c>
      <c r="J9" s="13" t="s">
        <v>304</v>
      </c>
    </row>
    <row r="10" customFormat="false" ht="23.85" hidden="false" customHeight="false" outlineLevel="0" collapsed="false">
      <c r="A10" s="7" t="s">
        <v>48</v>
      </c>
      <c r="B10" s="7" t="s">
        <v>342</v>
      </c>
      <c r="C10" s="7" t="s">
        <v>343</v>
      </c>
      <c r="D10" s="7" t="s">
        <v>344</v>
      </c>
      <c r="E10" s="7" t="s">
        <v>345</v>
      </c>
      <c r="F10" s="7" t="s">
        <v>176</v>
      </c>
      <c r="G10" s="7" t="s">
        <v>302</v>
      </c>
      <c r="H10" s="7" t="s">
        <v>346</v>
      </c>
      <c r="I10" s="9" t="s">
        <v>40</v>
      </c>
      <c r="J10" s="13" t="s">
        <v>304</v>
      </c>
    </row>
    <row r="11" customFormat="false" ht="15" hidden="false" customHeight="false" outlineLevel="0" collapsed="false">
      <c r="A11" s="7" t="s">
        <v>48</v>
      </c>
      <c r="B11" s="7" t="s">
        <v>347</v>
      </c>
      <c r="C11" s="7" t="s">
        <v>348</v>
      </c>
      <c r="D11" s="7" t="s">
        <v>349</v>
      </c>
      <c r="E11" s="7" t="s">
        <v>350</v>
      </c>
      <c r="F11" s="7" t="s">
        <v>180</v>
      </c>
      <c r="G11" s="7" t="s">
        <v>302</v>
      </c>
      <c r="H11" s="7" t="s">
        <v>351</v>
      </c>
      <c r="I11" s="9" t="s">
        <v>40</v>
      </c>
      <c r="J11" s="8" t="s">
        <v>310</v>
      </c>
    </row>
    <row r="12" customFormat="false" ht="23.85" hidden="false" customHeight="false" outlineLevel="0" collapsed="false">
      <c r="A12" s="7" t="s">
        <v>352</v>
      </c>
      <c r="B12" s="7" t="s">
        <v>172</v>
      </c>
      <c r="C12" s="7" t="s">
        <v>353</v>
      </c>
      <c r="D12" s="7" t="s">
        <v>182</v>
      </c>
      <c r="E12" s="7" t="s">
        <v>354</v>
      </c>
      <c r="F12" s="7" t="s">
        <v>183</v>
      </c>
      <c r="G12" s="7" t="s">
        <v>302</v>
      </c>
      <c r="H12" s="7" t="s">
        <v>355</v>
      </c>
      <c r="I12" s="9" t="s">
        <v>40</v>
      </c>
      <c r="J12" s="13" t="s">
        <v>304</v>
      </c>
    </row>
    <row r="13" customFormat="false" ht="23.85" hidden="false" customHeight="false" outlineLevel="0" collapsed="false">
      <c r="A13" s="7" t="s">
        <v>352</v>
      </c>
      <c r="B13" s="7" t="s">
        <v>172</v>
      </c>
      <c r="C13" s="7" t="s">
        <v>356</v>
      </c>
      <c r="D13" s="7" t="s">
        <v>268</v>
      </c>
      <c r="E13" s="7" t="s">
        <v>357</v>
      </c>
      <c r="F13" s="7" t="s">
        <v>270</v>
      </c>
      <c r="G13" s="7" t="s">
        <v>302</v>
      </c>
      <c r="H13" s="7" t="s">
        <v>358</v>
      </c>
      <c r="I13" s="9" t="s">
        <v>40</v>
      </c>
      <c r="J13" s="8" t="s">
        <v>310</v>
      </c>
    </row>
    <row r="14" customFormat="false" ht="15" hidden="false" customHeight="false" outlineLevel="0" collapsed="false">
      <c r="A14" s="7" t="s">
        <v>352</v>
      </c>
      <c r="B14" s="7" t="s">
        <v>172</v>
      </c>
      <c r="C14" s="7" t="s">
        <v>359</v>
      </c>
      <c r="D14" s="7" t="s">
        <v>271</v>
      </c>
      <c r="E14" s="7" t="s">
        <v>360</v>
      </c>
      <c r="F14" s="7" t="s">
        <v>273</v>
      </c>
      <c r="G14" s="7" t="s">
        <v>302</v>
      </c>
      <c r="H14" s="7" t="s">
        <v>361</v>
      </c>
      <c r="I14" s="9" t="s">
        <v>40</v>
      </c>
      <c r="J14" s="13" t="s">
        <v>304</v>
      </c>
    </row>
    <row r="15" customFormat="false" ht="15" hidden="false" customHeight="false" outlineLevel="0" collapsed="false">
      <c r="A15" s="7" t="s">
        <v>352</v>
      </c>
      <c r="B15" s="7" t="s">
        <v>172</v>
      </c>
      <c r="C15" s="7" t="s">
        <v>362</v>
      </c>
      <c r="D15" s="7" t="s">
        <v>363</v>
      </c>
      <c r="E15" s="7" t="s">
        <v>364</v>
      </c>
      <c r="F15" s="7" t="s">
        <v>365</v>
      </c>
      <c r="G15" s="7" t="s">
        <v>302</v>
      </c>
      <c r="H15" s="7" t="s">
        <v>366</v>
      </c>
      <c r="I15" s="9" t="s">
        <v>40</v>
      </c>
      <c r="J15" s="9" t="s">
        <v>332</v>
      </c>
    </row>
    <row r="16" customFormat="false" ht="15" hidden="false" customHeight="false" outlineLevel="0" collapsed="false">
      <c r="A16" s="7" t="s">
        <v>75</v>
      </c>
      <c r="B16" s="7" t="s">
        <v>76</v>
      </c>
      <c r="C16" s="7" t="s">
        <v>367</v>
      </c>
      <c r="D16" s="7" t="s">
        <v>368</v>
      </c>
      <c r="E16" s="7" t="s">
        <v>78</v>
      </c>
      <c r="F16" s="7" t="s">
        <v>194</v>
      </c>
      <c r="G16" s="7" t="s">
        <v>302</v>
      </c>
      <c r="H16" s="7" t="s">
        <v>369</v>
      </c>
      <c r="I16" s="9" t="s">
        <v>40</v>
      </c>
      <c r="J16" s="8" t="s">
        <v>310</v>
      </c>
    </row>
    <row r="17" customFormat="false" ht="15" hidden="false" customHeight="false" outlineLevel="0" collapsed="false">
      <c r="A17" s="7" t="s">
        <v>81</v>
      </c>
      <c r="B17" s="7" t="s">
        <v>172</v>
      </c>
      <c r="C17" s="7" t="s">
        <v>370</v>
      </c>
      <c r="D17" s="7" t="s">
        <v>371</v>
      </c>
      <c r="E17" s="7" t="s">
        <v>372</v>
      </c>
      <c r="F17" s="7" t="s">
        <v>197</v>
      </c>
      <c r="G17" s="7" t="s">
        <v>302</v>
      </c>
      <c r="H17" s="7" t="s">
        <v>373</v>
      </c>
      <c r="I17" s="9" t="s">
        <v>40</v>
      </c>
      <c r="J17" s="9" t="s">
        <v>332</v>
      </c>
    </row>
    <row r="18" customFormat="false" ht="15" hidden="false" customHeight="false" outlineLevel="0" collapsed="false">
      <c r="A18" s="7" t="s">
        <v>87</v>
      </c>
      <c r="B18" s="7" t="s">
        <v>374</v>
      </c>
      <c r="C18" s="7" t="s">
        <v>172</v>
      </c>
      <c r="D18" s="7" t="s">
        <v>375</v>
      </c>
      <c r="E18" s="7" t="s">
        <v>376</v>
      </c>
      <c r="F18" s="7" t="s">
        <v>200</v>
      </c>
      <c r="G18" s="7" t="s">
        <v>315</v>
      </c>
      <c r="H18" s="7" t="s">
        <v>377</v>
      </c>
      <c r="I18" s="9" t="s">
        <v>40</v>
      </c>
      <c r="J18" s="9" t="s">
        <v>332</v>
      </c>
    </row>
    <row r="19" customFormat="false" ht="15" hidden="false" customHeight="false" outlineLevel="0" collapsed="false">
      <c r="A19" s="7" t="s">
        <v>87</v>
      </c>
      <c r="B19" s="7" t="s">
        <v>172</v>
      </c>
      <c r="C19" s="7" t="s">
        <v>378</v>
      </c>
      <c r="D19" s="7" t="s">
        <v>379</v>
      </c>
      <c r="E19" s="7" t="s">
        <v>380</v>
      </c>
      <c r="F19" s="7" t="s">
        <v>203</v>
      </c>
      <c r="G19" s="7" t="s">
        <v>302</v>
      </c>
      <c r="H19" s="7" t="s">
        <v>381</v>
      </c>
      <c r="I19" s="9" t="s">
        <v>40</v>
      </c>
      <c r="J19" s="9" t="s">
        <v>332</v>
      </c>
    </row>
    <row r="20" customFormat="false" ht="15" hidden="false" customHeight="false" outlineLevel="0" collapsed="false">
      <c r="A20" s="7" t="s">
        <v>93</v>
      </c>
      <c r="B20" s="7" t="s">
        <v>382</v>
      </c>
      <c r="C20" s="7" t="s">
        <v>383</v>
      </c>
      <c r="D20" s="7" t="s">
        <v>384</v>
      </c>
      <c r="E20" s="7" t="s">
        <v>385</v>
      </c>
      <c r="F20" s="7" t="s">
        <v>212</v>
      </c>
      <c r="G20" s="7" t="s">
        <v>302</v>
      </c>
      <c r="H20" s="7" t="s">
        <v>386</v>
      </c>
      <c r="I20" s="9" t="s">
        <v>40</v>
      </c>
      <c r="J20" s="9" t="s">
        <v>332</v>
      </c>
    </row>
    <row r="21" customFormat="false" ht="15" hidden="false" customHeight="false" outlineLevel="0" collapsed="false">
      <c r="A21" s="7" t="s">
        <v>93</v>
      </c>
      <c r="B21" s="7" t="s">
        <v>172</v>
      </c>
      <c r="C21" s="7" t="s">
        <v>387</v>
      </c>
      <c r="D21" s="7" t="s">
        <v>214</v>
      </c>
      <c r="E21" s="7" t="s">
        <v>388</v>
      </c>
      <c r="F21" s="7" t="s">
        <v>215</v>
      </c>
      <c r="G21" s="7" t="s">
        <v>302</v>
      </c>
      <c r="H21" s="7" t="s">
        <v>389</v>
      </c>
      <c r="I21" s="9" t="s">
        <v>40</v>
      </c>
      <c r="J21" s="9" t="s">
        <v>332</v>
      </c>
    </row>
    <row r="22" customFormat="false" ht="15" hidden="false" customHeight="false" outlineLevel="0" collapsed="false">
      <c r="A22" s="7" t="s">
        <v>390</v>
      </c>
      <c r="B22" s="7" t="s">
        <v>172</v>
      </c>
      <c r="C22" s="7" t="s">
        <v>391</v>
      </c>
      <c r="D22" s="7" t="s">
        <v>392</v>
      </c>
      <c r="E22" s="7" t="s">
        <v>393</v>
      </c>
      <c r="F22" s="7" t="s">
        <v>394</v>
      </c>
      <c r="G22" s="7" t="s">
        <v>302</v>
      </c>
      <c r="H22" s="7" t="s">
        <v>395</v>
      </c>
      <c r="I22" s="9" t="s">
        <v>40</v>
      </c>
      <c r="J22" s="12" t="s">
        <v>317</v>
      </c>
    </row>
    <row r="23" customFormat="false" ht="15" hidden="false" customHeight="false" outlineLevel="0" collapsed="false">
      <c r="A23" s="7" t="s">
        <v>112</v>
      </c>
      <c r="B23" s="7" t="s">
        <v>396</v>
      </c>
      <c r="C23" s="7" t="s">
        <v>397</v>
      </c>
      <c r="D23" s="7" t="s">
        <v>227</v>
      </c>
      <c r="E23" s="7" t="s">
        <v>398</v>
      </c>
      <c r="F23" s="7" t="s">
        <v>228</v>
      </c>
      <c r="G23" s="7" t="s">
        <v>302</v>
      </c>
      <c r="H23" s="7" t="s">
        <v>399</v>
      </c>
      <c r="I23" s="9" t="s">
        <v>40</v>
      </c>
      <c r="J23" s="8" t="s">
        <v>310</v>
      </c>
    </row>
    <row r="24" customFormat="false" ht="15" hidden="false" customHeight="false" outlineLevel="0" collapsed="false">
      <c r="A24" s="7" t="s">
        <v>112</v>
      </c>
      <c r="B24" s="7" t="s">
        <v>172</v>
      </c>
      <c r="C24" s="7" t="s">
        <v>400</v>
      </c>
      <c r="D24" s="7" t="s">
        <v>401</v>
      </c>
      <c r="E24" s="7" t="s">
        <v>402</v>
      </c>
      <c r="F24" s="7" t="s">
        <v>231</v>
      </c>
      <c r="G24" s="7" t="s">
        <v>302</v>
      </c>
      <c r="H24" s="7" t="s">
        <v>403</v>
      </c>
      <c r="I24" s="9" t="s">
        <v>40</v>
      </c>
      <c r="J24" s="8" t="s">
        <v>310</v>
      </c>
    </row>
    <row r="25" customFormat="false" ht="15" hidden="false" customHeight="false" outlineLevel="0" collapsed="false">
      <c r="A25" s="7" t="s">
        <v>112</v>
      </c>
      <c r="B25" s="7" t="s">
        <v>172</v>
      </c>
      <c r="C25" s="7" t="s">
        <v>404</v>
      </c>
      <c r="D25" s="7" t="s">
        <v>283</v>
      </c>
      <c r="E25" s="7" t="s">
        <v>405</v>
      </c>
      <c r="F25" s="7" t="s">
        <v>234</v>
      </c>
      <c r="G25" s="7" t="s">
        <v>302</v>
      </c>
      <c r="H25" s="7" t="s">
        <v>406</v>
      </c>
      <c r="I25" s="8" t="s">
        <v>27</v>
      </c>
      <c r="J25" s="8" t="s">
        <v>310</v>
      </c>
    </row>
    <row r="26" customFormat="false" ht="15" hidden="false" customHeight="false" outlineLevel="0" collapsed="false">
      <c r="A26" s="7" t="s">
        <v>112</v>
      </c>
      <c r="B26" s="7" t="s">
        <v>172</v>
      </c>
      <c r="C26" s="7" t="s">
        <v>407</v>
      </c>
      <c r="D26" s="7" t="s">
        <v>236</v>
      </c>
      <c r="E26" s="7" t="s">
        <v>408</v>
      </c>
      <c r="F26" s="7" t="s">
        <v>237</v>
      </c>
      <c r="G26" s="7" t="s">
        <v>302</v>
      </c>
      <c r="H26" s="7" t="s">
        <v>409</v>
      </c>
      <c r="I26" s="9" t="s">
        <v>40</v>
      </c>
      <c r="J26" s="8" t="s">
        <v>310</v>
      </c>
    </row>
    <row r="27" customFormat="false" ht="23.85" hidden="false" customHeight="false" outlineLevel="0" collapsed="false">
      <c r="A27" s="7" t="s">
        <v>119</v>
      </c>
      <c r="B27" s="7" t="s">
        <v>172</v>
      </c>
      <c r="C27" s="7" t="s">
        <v>410</v>
      </c>
      <c r="D27" s="7" t="s">
        <v>411</v>
      </c>
      <c r="E27" s="7" t="s">
        <v>412</v>
      </c>
      <c r="F27" s="7" t="s">
        <v>413</v>
      </c>
      <c r="G27" s="7" t="s">
        <v>302</v>
      </c>
      <c r="H27" s="7" t="s">
        <v>414</v>
      </c>
      <c r="I27" s="8" t="s">
        <v>27</v>
      </c>
      <c r="J27" s="13" t="s">
        <v>304</v>
      </c>
    </row>
    <row r="28" customFormat="false" ht="15" hidden="false" customHeight="false" outlineLevel="0" collapsed="false">
      <c r="A28" s="7" t="s">
        <v>119</v>
      </c>
      <c r="B28" s="7" t="s">
        <v>172</v>
      </c>
      <c r="C28" s="7" t="s">
        <v>415</v>
      </c>
      <c r="D28" s="7" t="s">
        <v>416</v>
      </c>
      <c r="E28" s="7" t="s">
        <v>417</v>
      </c>
      <c r="F28" s="7" t="s">
        <v>418</v>
      </c>
      <c r="G28" s="7" t="s">
        <v>302</v>
      </c>
      <c r="H28" s="7" t="s">
        <v>419</v>
      </c>
      <c r="I28" s="8" t="s">
        <v>27</v>
      </c>
      <c r="J28" s="8" t="s">
        <v>310</v>
      </c>
    </row>
    <row r="29" customFormat="false" ht="15" hidden="false" customHeight="false" outlineLevel="0" collapsed="false">
      <c r="A29" s="7" t="s">
        <v>119</v>
      </c>
      <c r="B29" s="7" t="s">
        <v>172</v>
      </c>
      <c r="C29" s="7" t="s">
        <v>420</v>
      </c>
      <c r="D29" s="7" t="s">
        <v>421</v>
      </c>
      <c r="E29" s="7" t="s">
        <v>422</v>
      </c>
      <c r="F29" s="7" t="s">
        <v>423</v>
      </c>
      <c r="G29" s="7" t="s">
        <v>302</v>
      </c>
      <c r="H29" s="7" t="s">
        <v>424</v>
      </c>
      <c r="I29" s="8" t="s">
        <v>27</v>
      </c>
      <c r="J29" s="13" t="s">
        <v>304</v>
      </c>
    </row>
    <row r="30" customFormat="false" ht="15" hidden="false" customHeight="false" outlineLevel="0" collapsed="false">
      <c r="A30" s="7" t="s">
        <v>119</v>
      </c>
      <c r="B30" s="7" t="s">
        <v>425</v>
      </c>
      <c r="C30" s="7" t="s">
        <v>426</v>
      </c>
      <c r="D30" s="7" t="s">
        <v>126</v>
      </c>
      <c r="E30" s="7" t="s">
        <v>427</v>
      </c>
      <c r="F30" s="7" t="s">
        <v>428</v>
      </c>
      <c r="G30" s="7" t="s">
        <v>302</v>
      </c>
      <c r="H30" s="7" t="s">
        <v>429</v>
      </c>
      <c r="I30" s="8" t="s">
        <v>27</v>
      </c>
      <c r="J30" s="9" t="s">
        <v>332</v>
      </c>
    </row>
    <row r="31" customFormat="false" ht="23.85" hidden="false" customHeight="false" outlineLevel="0" collapsed="false">
      <c r="A31" s="7" t="s">
        <v>132</v>
      </c>
      <c r="B31" s="7" t="s">
        <v>134</v>
      </c>
      <c r="C31" s="7" t="s">
        <v>430</v>
      </c>
      <c r="D31" s="7" t="s">
        <v>133</v>
      </c>
      <c r="E31" s="7" t="s">
        <v>431</v>
      </c>
      <c r="F31" s="7" t="s">
        <v>240</v>
      </c>
      <c r="G31" s="7" t="s">
        <v>302</v>
      </c>
      <c r="H31" s="7" t="s">
        <v>432</v>
      </c>
      <c r="I31" s="8" t="s">
        <v>27</v>
      </c>
      <c r="J31" s="13" t="s">
        <v>304</v>
      </c>
    </row>
    <row r="32" customFormat="false" ht="15" hidden="false" customHeight="false" outlineLevel="0" collapsed="false">
      <c r="A32" s="7" t="s">
        <v>132</v>
      </c>
      <c r="B32" s="7" t="s">
        <v>172</v>
      </c>
      <c r="C32" s="7" t="s">
        <v>433</v>
      </c>
      <c r="D32" s="7" t="s">
        <v>434</v>
      </c>
      <c r="E32" s="7" t="s">
        <v>435</v>
      </c>
      <c r="F32" s="7" t="s">
        <v>243</v>
      </c>
      <c r="G32" s="7" t="s">
        <v>302</v>
      </c>
      <c r="H32" s="7" t="s">
        <v>436</v>
      </c>
      <c r="I32" s="8" t="s">
        <v>27</v>
      </c>
      <c r="J32" s="8" t="s">
        <v>310</v>
      </c>
    </row>
    <row r="33" customFormat="false" ht="15" hidden="false" customHeight="false" outlineLevel="0" collapsed="false">
      <c r="A33" s="7" t="s">
        <v>132</v>
      </c>
      <c r="B33" s="7" t="s">
        <v>172</v>
      </c>
      <c r="C33" s="7" t="s">
        <v>437</v>
      </c>
      <c r="D33" s="7" t="s">
        <v>245</v>
      </c>
      <c r="E33" s="7" t="s">
        <v>438</v>
      </c>
      <c r="F33" s="7" t="s">
        <v>246</v>
      </c>
      <c r="G33" s="7" t="s">
        <v>302</v>
      </c>
      <c r="H33" s="7" t="s">
        <v>439</v>
      </c>
      <c r="I33" s="8" t="s">
        <v>27</v>
      </c>
      <c r="J33" s="13" t="s">
        <v>304</v>
      </c>
    </row>
    <row r="34" customFormat="false" ht="15" hidden="false" customHeight="false" outlineLevel="0" collapsed="false">
      <c r="A34" s="7" t="s">
        <v>132</v>
      </c>
      <c r="B34" s="7" t="s">
        <v>172</v>
      </c>
      <c r="C34" s="7" t="s">
        <v>440</v>
      </c>
      <c r="D34" s="7" t="s">
        <v>441</v>
      </c>
      <c r="E34" s="7" t="s">
        <v>442</v>
      </c>
      <c r="F34" s="7" t="s">
        <v>278</v>
      </c>
      <c r="G34" s="7" t="s">
        <v>302</v>
      </c>
      <c r="H34" s="7" t="s">
        <v>443</v>
      </c>
      <c r="I34" s="8" t="s">
        <v>27</v>
      </c>
      <c r="J34" s="8" t="s">
        <v>310</v>
      </c>
    </row>
    <row r="35" customFormat="false" ht="15" hidden="false" customHeight="false" outlineLevel="0" collapsed="false">
      <c r="A35" s="7" t="s">
        <v>132</v>
      </c>
      <c r="B35" s="7" t="s">
        <v>172</v>
      </c>
      <c r="C35" s="7" t="s">
        <v>444</v>
      </c>
      <c r="D35" s="7" t="s">
        <v>445</v>
      </c>
      <c r="E35" s="7" t="s">
        <v>446</v>
      </c>
      <c r="F35" s="7" t="s">
        <v>447</v>
      </c>
      <c r="G35" s="7" t="s">
        <v>302</v>
      </c>
      <c r="H35" s="7" t="s">
        <v>448</v>
      </c>
      <c r="I35" s="8" t="s">
        <v>27</v>
      </c>
      <c r="J35" s="8" t="s">
        <v>310</v>
      </c>
    </row>
    <row r="36" customFormat="false" ht="23.85" hidden="false" customHeight="false" outlineLevel="0" collapsed="false">
      <c r="A36" s="7" t="s">
        <v>139</v>
      </c>
      <c r="B36" s="7" t="s">
        <v>449</v>
      </c>
      <c r="C36" s="7" t="s">
        <v>450</v>
      </c>
      <c r="D36" s="7" t="s">
        <v>451</v>
      </c>
      <c r="E36" s="7" t="s">
        <v>452</v>
      </c>
      <c r="F36" s="7" t="s">
        <v>453</v>
      </c>
      <c r="G36" s="7" t="s">
        <v>302</v>
      </c>
      <c r="H36" s="7" t="s">
        <v>454</v>
      </c>
      <c r="I36" s="8" t="s">
        <v>27</v>
      </c>
      <c r="J36" s="12" t="s">
        <v>317</v>
      </c>
    </row>
    <row r="37" customFormat="false" ht="23.85" hidden="false" customHeight="false" outlineLevel="0" collapsed="false">
      <c r="A37" s="7" t="s">
        <v>455</v>
      </c>
      <c r="B37" s="7" t="s">
        <v>172</v>
      </c>
      <c r="C37" s="7" t="s">
        <v>456</v>
      </c>
      <c r="D37" s="7" t="s">
        <v>457</v>
      </c>
      <c r="E37" s="7" t="s">
        <v>150</v>
      </c>
      <c r="F37" s="7" t="s">
        <v>458</v>
      </c>
      <c r="G37" s="7" t="s">
        <v>459</v>
      </c>
      <c r="H37" s="7" t="s">
        <v>460</v>
      </c>
      <c r="I37" s="8" t="s">
        <v>27</v>
      </c>
      <c r="J37" s="8" t="s">
        <v>310</v>
      </c>
    </row>
    <row r="38" customFormat="false" ht="23.85" hidden="false" customHeight="false" outlineLevel="0" collapsed="false">
      <c r="A38" s="7" t="s">
        <v>21</v>
      </c>
      <c r="B38" s="7" t="s">
        <v>172</v>
      </c>
      <c r="C38" s="7" t="s">
        <v>461</v>
      </c>
      <c r="D38" s="7" t="s">
        <v>462</v>
      </c>
      <c r="E38" s="7" t="s">
        <v>463</v>
      </c>
      <c r="F38" s="7" t="s">
        <v>281</v>
      </c>
      <c r="G38" s="7" t="s">
        <v>302</v>
      </c>
      <c r="H38" s="7" t="s">
        <v>464</v>
      </c>
      <c r="I38" s="8" t="s">
        <v>27</v>
      </c>
      <c r="J38" s="8" t="s">
        <v>310</v>
      </c>
    </row>
    <row r="39" customFormat="false" ht="23.85" hidden="false" customHeight="false" outlineLevel="0" collapsed="false">
      <c r="A39" s="7" t="s">
        <v>352</v>
      </c>
      <c r="B39" s="7" t="s">
        <v>172</v>
      </c>
      <c r="C39" s="7" t="s">
        <v>465</v>
      </c>
      <c r="D39" s="7" t="s">
        <v>466</v>
      </c>
      <c r="E39" s="7" t="s">
        <v>467</v>
      </c>
      <c r="F39" s="7" t="s">
        <v>468</v>
      </c>
      <c r="G39" s="7" t="s">
        <v>302</v>
      </c>
      <c r="H39" s="7" t="s">
        <v>469</v>
      </c>
      <c r="I39" s="8" t="s">
        <v>27</v>
      </c>
      <c r="J39" s="9" t="s">
        <v>332</v>
      </c>
    </row>
    <row r="40" customFormat="false" ht="15" hidden="false" customHeight="false" outlineLevel="0" collapsed="false">
      <c r="A40" s="7" t="s">
        <v>68</v>
      </c>
      <c r="B40" s="7" t="s">
        <v>470</v>
      </c>
      <c r="C40" s="7" t="s">
        <v>471</v>
      </c>
      <c r="D40" s="7" t="s">
        <v>472</v>
      </c>
      <c r="E40" s="7" t="s">
        <v>473</v>
      </c>
      <c r="F40" s="7" t="s">
        <v>206</v>
      </c>
      <c r="G40" s="7" t="s">
        <v>302</v>
      </c>
      <c r="H40" s="7" t="s">
        <v>474</v>
      </c>
      <c r="I40" s="8" t="s">
        <v>27</v>
      </c>
      <c r="J40" s="9" t="s">
        <v>332</v>
      </c>
    </row>
    <row r="41" customFormat="false" ht="15" hidden="false" customHeight="false" outlineLevel="0" collapsed="false">
      <c r="A41" s="7" t="s">
        <v>68</v>
      </c>
      <c r="B41" s="7" t="s">
        <v>475</v>
      </c>
      <c r="C41" s="7" t="s">
        <v>367</v>
      </c>
      <c r="D41" s="7" t="s">
        <v>476</v>
      </c>
      <c r="E41" s="7" t="s">
        <v>477</v>
      </c>
      <c r="F41" s="7" t="s">
        <v>209</v>
      </c>
      <c r="G41" s="7" t="s">
        <v>302</v>
      </c>
      <c r="H41" s="7" t="s">
        <v>478</v>
      </c>
      <c r="I41" s="8" t="s">
        <v>27</v>
      </c>
      <c r="J41" s="9" t="s">
        <v>332</v>
      </c>
    </row>
    <row r="42" customFormat="false" ht="23.85" hidden="false" customHeight="false" outlineLevel="0" collapsed="false">
      <c r="A42" s="7" t="s">
        <v>479</v>
      </c>
      <c r="B42" s="7" t="s">
        <v>480</v>
      </c>
      <c r="C42" s="7" t="s">
        <v>172</v>
      </c>
      <c r="D42" s="7" t="s">
        <v>481</v>
      </c>
      <c r="E42" s="7" t="s">
        <v>482</v>
      </c>
      <c r="F42" s="7" t="s">
        <v>483</v>
      </c>
      <c r="G42" s="7" t="s">
        <v>315</v>
      </c>
      <c r="H42" s="7" t="s">
        <v>484</v>
      </c>
      <c r="I42" s="8" t="s">
        <v>27</v>
      </c>
      <c r="J42" s="9" t="s">
        <v>332</v>
      </c>
    </row>
    <row r="43" customFormat="false" ht="23.85" hidden="false" customHeight="false" outlineLevel="0" collapsed="false">
      <c r="A43" s="7" t="s">
        <v>132</v>
      </c>
      <c r="B43" s="7" t="s">
        <v>485</v>
      </c>
      <c r="C43" s="7" t="s">
        <v>486</v>
      </c>
      <c r="D43" s="7" t="s">
        <v>487</v>
      </c>
      <c r="E43" s="7" t="s">
        <v>488</v>
      </c>
      <c r="F43" s="7" t="s">
        <v>489</v>
      </c>
      <c r="G43" s="7" t="s">
        <v>302</v>
      </c>
      <c r="H43" s="7" t="s">
        <v>490</v>
      </c>
      <c r="I43" s="8" t="s">
        <v>27</v>
      </c>
      <c r="J43" s="12" t="s">
        <v>317</v>
      </c>
    </row>
  </sheetData>
  <autoFilter ref="A1:J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14"/>
  </cols>
  <sheetData>
    <row r="1" customFormat="false" ht="23.85" hidden="false" customHeight="false" outlineLevel="0" collapsed="false">
      <c r="A1" s="6" t="s">
        <v>491</v>
      </c>
      <c r="B1" s="6" t="s">
        <v>492</v>
      </c>
      <c r="C1" s="6" t="s">
        <v>493</v>
      </c>
      <c r="D1" s="6" t="s">
        <v>494</v>
      </c>
      <c r="E1" s="6" t="s">
        <v>297</v>
      </c>
      <c r="F1" s="6" t="s">
        <v>495</v>
      </c>
      <c r="G1" s="6" t="s">
        <v>496</v>
      </c>
    </row>
    <row r="2" customFormat="false" ht="23.85" hidden="false" customHeight="false" outlineLevel="0" collapsed="false">
      <c r="A2" s="7" t="s">
        <v>497</v>
      </c>
      <c r="B2" s="7" t="s">
        <v>498</v>
      </c>
      <c r="C2" s="7" t="s">
        <v>21</v>
      </c>
      <c r="D2" s="7" t="s">
        <v>499</v>
      </c>
      <c r="E2" s="13" t="s">
        <v>304</v>
      </c>
      <c r="F2" s="7" t="s">
        <v>500</v>
      </c>
      <c r="G2" s="7" t="s">
        <v>501</v>
      </c>
    </row>
    <row r="3" customFormat="false" ht="23.85" hidden="false" customHeight="false" outlineLevel="0" collapsed="false">
      <c r="A3" s="7" t="s">
        <v>502</v>
      </c>
      <c r="B3" s="7" t="s">
        <v>503</v>
      </c>
      <c r="C3" s="7" t="s">
        <v>119</v>
      </c>
      <c r="D3" s="7" t="s">
        <v>504</v>
      </c>
      <c r="E3" s="13" t="s">
        <v>304</v>
      </c>
      <c r="F3" s="7" t="s">
        <v>505</v>
      </c>
      <c r="G3" s="7" t="s">
        <v>506</v>
      </c>
    </row>
    <row r="4" customFormat="false" ht="15" hidden="false" customHeight="false" outlineLevel="0" collapsed="false">
      <c r="A4" s="7" t="s">
        <v>507</v>
      </c>
      <c r="B4" s="7" t="s">
        <v>508</v>
      </c>
      <c r="C4" s="7" t="s">
        <v>48</v>
      </c>
      <c r="D4" s="7" t="s">
        <v>509</v>
      </c>
      <c r="E4" s="13" t="s">
        <v>304</v>
      </c>
      <c r="F4" s="7" t="s">
        <v>510</v>
      </c>
      <c r="G4" s="7" t="s">
        <v>511</v>
      </c>
    </row>
    <row r="5" customFormat="false" ht="23.85" hidden="false" customHeight="false" outlineLevel="0" collapsed="false">
      <c r="A5" s="7" t="s">
        <v>512</v>
      </c>
      <c r="B5" s="7" t="s">
        <v>513</v>
      </c>
      <c r="C5" s="7" t="s">
        <v>105</v>
      </c>
      <c r="D5" s="7" t="s">
        <v>514</v>
      </c>
      <c r="E5" s="13" t="s">
        <v>304</v>
      </c>
      <c r="F5" s="7" t="s">
        <v>515</v>
      </c>
      <c r="G5" s="7" t="s">
        <v>516</v>
      </c>
    </row>
    <row r="6" customFormat="false" ht="15" hidden="false" customHeight="false" outlineLevel="0" collapsed="false">
      <c r="A6" s="7" t="s">
        <v>517</v>
      </c>
      <c r="B6" s="7" t="s">
        <v>518</v>
      </c>
      <c r="C6" s="7" t="s">
        <v>352</v>
      </c>
      <c r="D6" s="7" t="s">
        <v>519</v>
      </c>
      <c r="E6" s="13" t="s">
        <v>304</v>
      </c>
      <c r="F6" s="7" t="s">
        <v>520</v>
      </c>
      <c r="G6" s="7" t="s">
        <v>521</v>
      </c>
    </row>
    <row r="7" customFormat="false" ht="23.85" hidden="false" customHeight="false" outlineLevel="0" collapsed="false">
      <c r="A7" s="7" t="s">
        <v>522</v>
      </c>
      <c r="B7" s="7" t="s">
        <v>523</v>
      </c>
      <c r="C7" s="7" t="s">
        <v>132</v>
      </c>
      <c r="D7" s="7" t="s">
        <v>524</v>
      </c>
      <c r="E7" s="8" t="s">
        <v>310</v>
      </c>
      <c r="F7" s="7" t="s">
        <v>525</v>
      </c>
      <c r="G7" s="7" t="s">
        <v>526</v>
      </c>
    </row>
    <row r="8" customFormat="false" ht="23.85" hidden="false" customHeight="false" outlineLevel="0" collapsed="false">
      <c r="A8" s="7" t="s">
        <v>527</v>
      </c>
      <c r="B8" s="7" t="s">
        <v>528</v>
      </c>
      <c r="C8" s="7" t="s">
        <v>112</v>
      </c>
      <c r="D8" s="7" t="s">
        <v>529</v>
      </c>
      <c r="E8" s="8" t="s">
        <v>310</v>
      </c>
      <c r="F8" s="7" t="s">
        <v>530</v>
      </c>
      <c r="G8" s="7" t="s">
        <v>531</v>
      </c>
    </row>
    <row r="9" customFormat="false" ht="23.85" hidden="false" customHeight="false" outlineLevel="0" collapsed="false">
      <c r="A9" s="7" t="s">
        <v>532</v>
      </c>
      <c r="B9" s="7" t="s">
        <v>533</v>
      </c>
      <c r="C9" s="7" t="s">
        <v>21</v>
      </c>
      <c r="D9" s="7" t="s">
        <v>534</v>
      </c>
      <c r="E9" s="9" t="s">
        <v>332</v>
      </c>
      <c r="F9" s="7" t="s">
        <v>535</v>
      </c>
      <c r="G9" s="7" t="s">
        <v>536</v>
      </c>
    </row>
    <row r="10" customFormat="false" ht="23.85" hidden="false" customHeight="false" outlineLevel="0" collapsed="false">
      <c r="A10" s="7" t="s">
        <v>537</v>
      </c>
      <c r="B10" s="7" t="s">
        <v>538</v>
      </c>
      <c r="C10" s="7" t="s">
        <v>539</v>
      </c>
      <c r="D10" s="7" t="s">
        <v>540</v>
      </c>
      <c r="E10" s="8" t="s">
        <v>310</v>
      </c>
      <c r="F10" s="7" t="s">
        <v>541</v>
      </c>
      <c r="G10" s="7" t="s">
        <v>542</v>
      </c>
    </row>
    <row r="11" customFormat="false" ht="23.85" hidden="false" customHeight="false" outlineLevel="0" collapsed="false">
      <c r="A11" s="7" t="s">
        <v>543</v>
      </c>
      <c r="B11" s="7" t="s">
        <v>544</v>
      </c>
      <c r="C11" s="7" t="s">
        <v>146</v>
      </c>
      <c r="D11" s="7" t="s">
        <v>545</v>
      </c>
      <c r="E11" s="8" t="s">
        <v>310</v>
      </c>
      <c r="F11" s="7" t="s">
        <v>546</v>
      </c>
      <c r="G11" s="7" t="s">
        <v>547</v>
      </c>
    </row>
    <row r="12" customFormat="false" ht="15" hidden="false" customHeight="false" outlineLevel="0" collapsed="false">
      <c r="A12" s="7" t="s">
        <v>548</v>
      </c>
      <c r="B12" s="7" t="s">
        <v>549</v>
      </c>
      <c r="C12" s="7" t="s">
        <v>550</v>
      </c>
      <c r="D12" s="7" t="s">
        <v>551</v>
      </c>
      <c r="E12" s="8" t="s">
        <v>310</v>
      </c>
      <c r="F12" s="7" t="s">
        <v>552</v>
      </c>
      <c r="G12" s="7" t="s">
        <v>553</v>
      </c>
    </row>
    <row r="13" customFormat="false" ht="15" hidden="false" customHeight="false" outlineLevel="0" collapsed="false">
      <c r="A13" s="7" t="s">
        <v>554</v>
      </c>
      <c r="B13" s="7" t="s">
        <v>555</v>
      </c>
      <c r="C13" s="7" t="s">
        <v>21</v>
      </c>
      <c r="D13" s="7" t="s">
        <v>556</v>
      </c>
      <c r="E13" s="9" t="s">
        <v>332</v>
      </c>
      <c r="F13" s="7" t="s">
        <v>557</v>
      </c>
      <c r="G13" s="7" t="s">
        <v>558</v>
      </c>
    </row>
    <row r="14" customFormat="false" ht="15" hidden="false" customHeight="false" outlineLevel="0" collapsed="false">
      <c r="A14" s="7" t="s">
        <v>559</v>
      </c>
      <c r="B14" s="7" t="s">
        <v>560</v>
      </c>
      <c r="C14" s="7" t="s">
        <v>550</v>
      </c>
      <c r="D14" s="7" t="s">
        <v>561</v>
      </c>
      <c r="E14" s="8" t="s">
        <v>310</v>
      </c>
      <c r="F14" s="7" t="s">
        <v>562</v>
      </c>
      <c r="G14" s="7" t="s">
        <v>563</v>
      </c>
    </row>
    <row r="15" customFormat="false" ht="15" hidden="false" customHeight="false" outlineLevel="0" collapsed="false">
      <c r="A15" s="7" t="s">
        <v>564</v>
      </c>
      <c r="B15" s="7" t="s">
        <v>565</v>
      </c>
      <c r="C15" s="7" t="s">
        <v>566</v>
      </c>
      <c r="D15" s="7" t="s">
        <v>567</v>
      </c>
      <c r="E15" s="8" t="s">
        <v>310</v>
      </c>
      <c r="F15" s="7" t="s">
        <v>568</v>
      </c>
      <c r="G15" s="7" t="s">
        <v>569</v>
      </c>
    </row>
    <row r="16" customFormat="false" ht="15" hidden="false" customHeight="false" outlineLevel="0" collapsed="false">
      <c r="A16" s="7" t="s">
        <v>570</v>
      </c>
      <c r="B16" s="7" t="s">
        <v>571</v>
      </c>
      <c r="C16" s="7" t="s">
        <v>139</v>
      </c>
      <c r="D16" s="7" t="s">
        <v>572</v>
      </c>
      <c r="E16" s="12" t="s">
        <v>317</v>
      </c>
      <c r="F16" s="7" t="s">
        <v>573</v>
      </c>
      <c r="G16" s="7" t="s">
        <v>574</v>
      </c>
    </row>
  </sheetData>
  <autoFilter ref="A1:G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6" t="s">
        <v>13</v>
      </c>
      <c r="B1" s="6" t="s">
        <v>575</v>
      </c>
      <c r="C1" s="6" t="s">
        <v>304</v>
      </c>
      <c r="D1" s="6" t="s">
        <v>310</v>
      </c>
      <c r="E1" s="6" t="s">
        <v>27</v>
      </c>
    </row>
    <row r="2" customFormat="false" ht="15" hidden="false" customHeight="false" outlineLevel="0" collapsed="false">
      <c r="A2" s="7" t="s">
        <v>21</v>
      </c>
      <c r="B2" s="7" t="n">
        <f aca="false">COUNTIF(A4_Data_Coverage_Matrix!A:A,A2)</f>
        <v>6</v>
      </c>
      <c r="C2" s="7" t="n">
        <f aca="false">COUNTIFS(A4_Data_Coverage_Matrix!A:A,A2,A4_Data_Coverage_Matrix!J:J,"Critical")</f>
        <v>1</v>
      </c>
      <c r="D2" s="7" t="n">
        <f aca="false">COUNTIFS(A4_Data_Coverage_Matrix!A:A,A2,A4_Data_Coverage_Matrix!J:J,"High")</f>
        <v>4</v>
      </c>
      <c r="E2" s="7" t="n">
        <f aca="false">COUNTIFS(A4_Data_Coverage_Matrix!A:A,A2,A4_Data_Coverage_Matrix!I:I,"To Be Verified")</f>
        <v>2</v>
      </c>
    </row>
    <row r="3" customFormat="false" ht="15" hidden="false" customHeight="false" outlineLevel="0" collapsed="false">
      <c r="A3" s="7" t="s">
        <v>48</v>
      </c>
      <c r="B3" s="7" t="n">
        <f aca="false">COUNTIF(A4_Data_Coverage_Matrix!A:A,A3)</f>
        <v>5</v>
      </c>
      <c r="C3" s="7" t="n">
        <f aca="false">COUNTIFS(A4_Data_Coverage_Matrix!A:A,A3,A4_Data_Coverage_Matrix!J:J,"Critical")</f>
        <v>2</v>
      </c>
      <c r="D3" s="7" t="n">
        <f aca="false">COUNTIFS(A4_Data_Coverage_Matrix!A:A,A3,A4_Data_Coverage_Matrix!J:J,"High")</f>
        <v>1</v>
      </c>
      <c r="E3" s="7" t="n">
        <f aca="false">COUNTIFS(A4_Data_Coverage_Matrix!A:A,A3,A4_Data_Coverage_Matrix!I:I,"To Be Verified")</f>
        <v>0</v>
      </c>
    </row>
    <row r="4" customFormat="false" ht="15" hidden="false" customHeight="false" outlineLevel="0" collapsed="false">
      <c r="A4" s="7" t="s">
        <v>352</v>
      </c>
      <c r="B4" s="7" t="n">
        <f aca="false">COUNTIF(A4_Data_Coverage_Matrix!A:A,A4)</f>
        <v>5</v>
      </c>
      <c r="C4" s="7" t="n">
        <f aca="false">COUNTIFS(A4_Data_Coverage_Matrix!A:A,A4,A4_Data_Coverage_Matrix!J:J,"Critical")</f>
        <v>2</v>
      </c>
      <c r="D4" s="7" t="n">
        <f aca="false">COUNTIFS(A4_Data_Coverage_Matrix!A:A,A4,A4_Data_Coverage_Matrix!J:J,"High")</f>
        <v>1</v>
      </c>
      <c r="E4" s="7" t="n">
        <f aca="false">COUNTIFS(A4_Data_Coverage_Matrix!A:A,A4,A4_Data_Coverage_Matrix!I:I,"To Be Verified")</f>
        <v>1</v>
      </c>
    </row>
    <row r="5" customFormat="false" ht="15" hidden="false" customHeight="false" outlineLevel="0" collapsed="false">
      <c r="A5" s="7" t="s">
        <v>75</v>
      </c>
      <c r="B5" s="7" t="n">
        <f aca="false">COUNTIF(A4_Data_Coverage_Matrix!A:A,A5)</f>
        <v>1</v>
      </c>
      <c r="C5" s="7" t="n">
        <f aca="false">COUNTIFS(A4_Data_Coverage_Matrix!A:A,A5,A4_Data_Coverage_Matrix!J:J,"Critical")</f>
        <v>0</v>
      </c>
      <c r="D5" s="7" t="n">
        <f aca="false">COUNTIFS(A4_Data_Coverage_Matrix!A:A,A5,A4_Data_Coverage_Matrix!J:J,"High")</f>
        <v>1</v>
      </c>
      <c r="E5" s="7" t="n">
        <f aca="false">COUNTIFS(A4_Data_Coverage_Matrix!A:A,A5,A4_Data_Coverage_Matrix!I:I,"To Be Verified")</f>
        <v>0</v>
      </c>
    </row>
    <row r="6" customFormat="false" ht="15" hidden="false" customHeight="false" outlineLevel="0" collapsed="false">
      <c r="A6" s="7" t="s">
        <v>81</v>
      </c>
      <c r="B6" s="7" t="n">
        <f aca="false">COUNTIF(A4_Data_Coverage_Matrix!A:A,A6)</f>
        <v>1</v>
      </c>
      <c r="C6" s="7" t="n">
        <f aca="false">COUNTIFS(A4_Data_Coverage_Matrix!A:A,A6,A4_Data_Coverage_Matrix!J:J,"Critical")</f>
        <v>0</v>
      </c>
      <c r="D6" s="7" t="n">
        <f aca="false">COUNTIFS(A4_Data_Coverage_Matrix!A:A,A6,A4_Data_Coverage_Matrix!J:J,"High")</f>
        <v>0</v>
      </c>
      <c r="E6" s="7" t="n">
        <f aca="false">COUNTIFS(A4_Data_Coverage_Matrix!A:A,A6,A4_Data_Coverage_Matrix!I:I,"To Be Verified")</f>
        <v>0</v>
      </c>
    </row>
    <row r="7" customFormat="false" ht="15" hidden="false" customHeight="false" outlineLevel="0" collapsed="false">
      <c r="A7" s="7" t="s">
        <v>87</v>
      </c>
      <c r="B7" s="7" t="n">
        <f aca="false">COUNTIF(A4_Data_Coverage_Matrix!A:A,A7)</f>
        <v>2</v>
      </c>
      <c r="C7" s="7" t="n">
        <f aca="false">COUNTIFS(A4_Data_Coverage_Matrix!A:A,A7,A4_Data_Coverage_Matrix!J:J,"Critical")</f>
        <v>0</v>
      </c>
      <c r="D7" s="7" t="n">
        <f aca="false">COUNTIFS(A4_Data_Coverage_Matrix!A:A,A7,A4_Data_Coverage_Matrix!J:J,"High")</f>
        <v>0</v>
      </c>
      <c r="E7" s="7" t="n">
        <f aca="false">COUNTIFS(A4_Data_Coverage_Matrix!A:A,A7,A4_Data_Coverage_Matrix!I:I,"To Be Verified")</f>
        <v>0</v>
      </c>
    </row>
    <row r="8" customFormat="false" ht="15" hidden="false" customHeight="false" outlineLevel="0" collapsed="false">
      <c r="A8" s="7" t="s">
        <v>93</v>
      </c>
      <c r="B8" s="7" t="n">
        <f aca="false">COUNTIF(A4_Data_Coverage_Matrix!A:A,A8)</f>
        <v>2</v>
      </c>
      <c r="C8" s="7" t="n">
        <f aca="false">COUNTIFS(A4_Data_Coverage_Matrix!A:A,A8,A4_Data_Coverage_Matrix!J:J,"Critical")</f>
        <v>0</v>
      </c>
      <c r="D8" s="7" t="n">
        <f aca="false">COUNTIFS(A4_Data_Coverage_Matrix!A:A,A8,A4_Data_Coverage_Matrix!J:J,"High")</f>
        <v>0</v>
      </c>
      <c r="E8" s="7" t="n">
        <f aca="false">COUNTIFS(A4_Data_Coverage_Matrix!A:A,A8,A4_Data_Coverage_Matrix!I:I,"To Be Verified")</f>
        <v>0</v>
      </c>
    </row>
    <row r="9" customFormat="false" ht="15" hidden="false" customHeight="false" outlineLevel="0" collapsed="false">
      <c r="A9" s="7" t="s">
        <v>390</v>
      </c>
      <c r="B9" s="7" t="n">
        <f aca="false">COUNTIF(A4_Data_Coverage_Matrix!A:A,A9)</f>
        <v>1</v>
      </c>
      <c r="C9" s="7" t="n">
        <f aca="false">COUNTIFS(A4_Data_Coverage_Matrix!A:A,A9,A4_Data_Coverage_Matrix!J:J,"Critical")</f>
        <v>0</v>
      </c>
      <c r="D9" s="7" t="n">
        <f aca="false">COUNTIFS(A4_Data_Coverage_Matrix!A:A,A9,A4_Data_Coverage_Matrix!J:J,"High")</f>
        <v>0</v>
      </c>
      <c r="E9" s="7" t="n">
        <f aca="false">COUNTIFS(A4_Data_Coverage_Matrix!A:A,A9,A4_Data_Coverage_Matrix!I:I,"To Be Verified")</f>
        <v>0</v>
      </c>
    </row>
    <row r="10" customFormat="false" ht="15" hidden="false" customHeight="false" outlineLevel="0" collapsed="false">
      <c r="A10" s="7" t="s">
        <v>112</v>
      </c>
      <c r="B10" s="7" t="n">
        <f aca="false">COUNTIF(A4_Data_Coverage_Matrix!A:A,A10)</f>
        <v>4</v>
      </c>
      <c r="C10" s="7" t="n">
        <f aca="false">COUNTIFS(A4_Data_Coverage_Matrix!A:A,A10,A4_Data_Coverage_Matrix!J:J,"Critical")</f>
        <v>0</v>
      </c>
      <c r="D10" s="7" t="n">
        <f aca="false">COUNTIFS(A4_Data_Coverage_Matrix!A:A,A10,A4_Data_Coverage_Matrix!J:J,"High")</f>
        <v>4</v>
      </c>
      <c r="E10" s="7" t="n">
        <f aca="false">COUNTIFS(A4_Data_Coverage_Matrix!A:A,A10,A4_Data_Coverage_Matrix!I:I,"To Be Verified")</f>
        <v>1</v>
      </c>
    </row>
    <row r="11" customFormat="false" ht="15" hidden="false" customHeight="false" outlineLevel="0" collapsed="false">
      <c r="A11" s="7" t="s">
        <v>119</v>
      </c>
      <c r="B11" s="7" t="n">
        <f aca="false">COUNTIF(A4_Data_Coverage_Matrix!A:A,A11)</f>
        <v>4</v>
      </c>
      <c r="C11" s="7" t="n">
        <f aca="false">COUNTIFS(A4_Data_Coverage_Matrix!A:A,A11,A4_Data_Coverage_Matrix!J:J,"Critical")</f>
        <v>2</v>
      </c>
      <c r="D11" s="7" t="n">
        <f aca="false">COUNTIFS(A4_Data_Coverage_Matrix!A:A,A11,A4_Data_Coverage_Matrix!J:J,"High")</f>
        <v>1</v>
      </c>
      <c r="E11" s="7" t="n">
        <f aca="false">COUNTIFS(A4_Data_Coverage_Matrix!A:A,A11,A4_Data_Coverage_Matrix!I:I,"To Be Verified")</f>
        <v>4</v>
      </c>
    </row>
    <row r="12" customFormat="false" ht="15" hidden="false" customHeight="false" outlineLevel="0" collapsed="false">
      <c r="A12" s="7" t="s">
        <v>132</v>
      </c>
      <c r="B12" s="7" t="n">
        <f aca="false">COUNTIF(A4_Data_Coverage_Matrix!A:A,A12)</f>
        <v>6</v>
      </c>
      <c r="C12" s="7" t="n">
        <f aca="false">COUNTIFS(A4_Data_Coverage_Matrix!A:A,A12,A4_Data_Coverage_Matrix!J:J,"Critical")</f>
        <v>2</v>
      </c>
      <c r="D12" s="7" t="n">
        <f aca="false">COUNTIFS(A4_Data_Coverage_Matrix!A:A,A12,A4_Data_Coverage_Matrix!J:J,"High")</f>
        <v>3</v>
      </c>
      <c r="E12" s="7" t="n">
        <f aca="false">COUNTIFS(A4_Data_Coverage_Matrix!A:A,A12,A4_Data_Coverage_Matrix!I:I,"To Be Verified")</f>
        <v>6</v>
      </c>
    </row>
    <row r="13" customFormat="false" ht="15" hidden="false" customHeight="false" outlineLevel="0" collapsed="false">
      <c r="A13" s="7" t="s">
        <v>139</v>
      </c>
      <c r="B13" s="7" t="n">
        <f aca="false">COUNTIF(A4_Data_Coverage_Matrix!A:A,A13)</f>
        <v>1</v>
      </c>
      <c r="C13" s="7" t="n">
        <f aca="false">COUNTIFS(A4_Data_Coverage_Matrix!A:A,A13,A4_Data_Coverage_Matrix!J:J,"Critical")</f>
        <v>0</v>
      </c>
      <c r="D13" s="7" t="n">
        <f aca="false">COUNTIFS(A4_Data_Coverage_Matrix!A:A,A13,A4_Data_Coverage_Matrix!J:J,"High")</f>
        <v>0</v>
      </c>
      <c r="E13" s="7" t="n">
        <f aca="false">COUNTIFS(A4_Data_Coverage_Matrix!A:A,A13,A4_Data_Coverage_Matrix!I:I,"To Be Verified")</f>
        <v>1</v>
      </c>
    </row>
    <row r="14" customFormat="false" ht="15" hidden="false" customHeight="false" outlineLevel="0" collapsed="false">
      <c r="A14" s="7" t="s">
        <v>455</v>
      </c>
      <c r="B14" s="7" t="n">
        <f aca="false">COUNTIF(A4_Data_Coverage_Matrix!A:A,A14)</f>
        <v>1</v>
      </c>
      <c r="C14" s="7" t="n">
        <f aca="false">COUNTIFS(A4_Data_Coverage_Matrix!A:A,A14,A4_Data_Coverage_Matrix!J:J,"Critical")</f>
        <v>0</v>
      </c>
      <c r="D14" s="7" t="n">
        <f aca="false">COUNTIFS(A4_Data_Coverage_Matrix!A:A,A14,A4_Data_Coverage_Matrix!J:J,"High")</f>
        <v>1</v>
      </c>
      <c r="E14" s="7" t="n">
        <f aca="false">COUNTIFS(A4_Data_Coverage_Matrix!A:A,A14,A4_Data_Coverage_Matrix!I:I,"To Be Verified")</f>
        <v>1</v>
      </c>
    </row>
    <row r="15" customFormat="false" ht="15" hidden="false" customHeight="false" outlineLevel="0" collapsed="false">
      <c r="A15" s="7" t="s">
        <v>68</v>
      </c>
      <c r="B15" s="7" t="n">
        <f aca="false">COUNTIF(A4_Data_Coverage_Matrix!A:A,A15)</f>
        <v>2</v>
      </c>
      <c r="C15" s="7" t="n">
        <f aca="false">COUNTIFS(A4_Data_Coverage_Matrix!A:A,A15,A4_Data_Coverage_Matrix!J:J,"Critical")</f>
        <v>0</v>
      </c>
      <c r="D15" s="7" t="n">
        <f aca="false">COUNTIFS(A4_Data_Coverage_Matrix!A:A,A15,A4_Data_Coverage_Matrix!J:J,"High")</f>
        <v>0</v>
      </c>
      <c r="E15" s="7" t="n">
        <f aca="false">COUNTIFS(A4_Data_Coverage_Matrix!A:A,A15,A4_Data_Coverage_Matrix!I:I,"To Be Verified")</f>
        <v>2</v>
      </c>
    </row>
    <row r="16" customFormat="false" ht="15" hidden="false" customHeight="false" outlineLevel="0" collapsed="false">
      <c r="A16" s="7" t="s">
        <v>479</v>
      </c>
      <c r="B16" s="7" t="n">
        <f aca="false">COUNTIF(A4_Data_Coverage_Matrix!A:A,A16)</f>
        <v>1</v>
      </c>
      <c r="C16" s="7" t="n">
        <f aca="false">COUNTIFS(A4_Data_Coverage_Matrix!A:A,A16,A4_Data_Coverage_Matrix!J:J,"Critical")</f>
        <v>0</v>
      </c>
      <c r="D16" s="7" t="n">
        <f aca="false">COUNTIFS(A4_Data_Coverage_Matrix!A:A,A16,A4_Data_Coverage_Matrix!J:J,"High")</f>
        <v>0</v>
      </c>
      <c r="E16" s="7" t="n">
        <f aca="false">COUNTIFS(A4_Data_Coverage_Matrix!A:A,A16,A4_Data_Coverage_Matrix!I:I,"To Be Verified")</f>
        <v>1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2026-10-08T11:03:29Z</dcterms:created>
  <dc:creator>openpyxl</dc:creator>
  <dc:description/>
  <dc:language>en-US</dc:language>
  <cp:lastModifiedBy/>
  <dcterms:modified xsi:type="dcterms:W3CDTF">2026-10-08T11:03:29Z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