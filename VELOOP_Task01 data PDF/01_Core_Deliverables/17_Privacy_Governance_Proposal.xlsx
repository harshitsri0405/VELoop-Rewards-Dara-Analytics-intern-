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les" sheetId="2" state="visible" r:id="rId4"/>
    <sheet name="Access_Matrix" sheetId="3" state="visible" r:id="rId5"/>
    <sheet name="Role_vs_Sensitivity" sheetId="4" state="visible" r:id="rId6"/>
    <sheet name="Do_Not_Expose" sheetId="5" state="visible" r:id="rId7"/>
    <sheet name="Governance_Owners" sheetId="6" state="visible" r:id="rId8"/>
    <sheet name="Access_Workflow" sheetId="7" state="visible" r:id="rId9"/>
    <sheet name="Intern_Dataset_Checklist" sheetId="8" state="visible" r:id="rId10"/>
    <sheet name="Retention_and_Rights" sheetId="9" state="visible" r:id="rId11"/>
    <sheet name="Field_Sensitivity" sheetId="10" state="visible" r:id="rId12"/>
    <sheet name="Sensitivity_Summar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<sst xmlns="http://schemas.openxmlformats.org/spreadsheetml/2006/main" count="763" uniqueCount="328">
  <si>
    <t xml:space="preserve">VELOOP REWARDS - Task 01 | Work Package P: Data Access, Privacy and Governance</t>
  </si>
  <si>
    <t xml:space="preserve">Everything here is Proposed or To Be Verified. This work does not describe, test or reverse-engineer VELOOP's actual security controls, and it contains no credentials. Legal points are outlines that need Legal review. No simulated or real VELOOP statistics are included.</t>
  </si>
  <si>
    <t xml:space="preserve">Privacy principles:</t>
  </si>
  <si>
    <t xml:space="preserve">- Data minimisation: collect only what a defined KPI, event or check needs. The dictionary has no personal-data fields.</t>
  </si>
  <si>
    <t xml:space="preserve">- Purpose limitation: each field lists its analytical use; data is not reused for unrelated purposes without approval.</t>
  </si>
  <si>
    <t xml:space="preserve">- Pseudonymous identifiers: analysis uses user_id, never names or contact details.</t>
  </si>
  <si>
    <t xml:space="preserve">- Least privilege: each role gets the lowest access that lets it do its work, for as long as it needs it.</t>
  </si>
  <si>
    <t xml:space="preserve">- Aggregate by default: wider audiences see aggregated reporting; row-level access is the exception.</t>
  </si>
  <si>
    <t xml:space="preserve">- Small-group protection: segments too small to hide an individual are suppressed in reports (the size threshold is to be agreed, not invented here).</t>
  </si>
  <si>
    <t xml:space="preserve">- Separation: simulated data, test data and production data stay apart.</t>
  </si>
  <si>
    <t xml:space="preserve">- Accountability: every dataset has an owner, every access grant is logged, and every definition change is recorded.</t>
  </si>
  <si>
    <t xml:space="preserve">Basic security practices (proposed):</t>
  </si>
  <si>
    <t xml:space="preserve">- Separate named accounts per person; no shared logins.</t>
  </si>
  <si>
    <t xml:space="preserve">- Credentials and keys live in a secrets store, never in code, spreadsheets, chats or documents.</t>
  </si>
  <si>
    <t xml:space="preserve">- Encryption in transit and at rest where the chosen tools support it.</t>
  </si>
  <si>
    <t xml:space="preserve">- Access to the raw and Restricted zones is logged and reviewed.</t>
  </si>
  <si>
    <t xml:space="preserve">- Backups follow the same access rules as the data.</t>
  </si>
  <si>
    <t xml:space="preserve">- Exports leave the analytics environment only with approval and are tracked.</t>
  </si>
  <si>
    <t xml:space="preserve">- These are proposed basics. This work does not describe, test or reverse-engineer VELOOP's actual security controls.</t>
  </si>
  <si>
    <t xml:space="preserve">Open questions:</t>
  </si>
  <si>
    <t xml:space="preserve">- Which privacy rules apply, given where VELOOP's users are? This needs Legal input (A016).</t>
  </si>
  <si>
    <t xml:space="preserve">- Which roles exist in practice and who is the named owner for each entity?</t>
  </si>
  <si>
    <t xml:space="preserve">- What small-group size should trigger suppression?</t>
  </si>
  <si>
    <t xml:space="preserve">- What retention periods apply to each zone?</t>
  </si>
  <si>
    <t xml:space="preserve">- How often should access be reviewed?</t>
  </si>
  <si>
    <t xml:space="preserve">- Which BI option will support aggregated-only access?</t>
  </si>
  <si>
    <t xml:space="preserve">Live counts</t>
  </si>
  <si>
    <t xml:space="preserve">Roles</t>
  </si>
  <si>
    <t xml:space="preserve">Zones in access matrix</t>
  </si>
  <si>
    <t xml:space="preserve">Fields classified</t>
  </si>
  <si>
    <t xml:space="preserve">Restricted fields</t>
  </si>
  <si>
    <t xml:space="preserve">Entities with an owner</t>
  </si>
  <si>
    <t xml:space="preserve">Role</t>
  </si>
  <si>
    <t xml:space="preserve">What the Role Does With Data</t>
  </si>
  <si>
    <t xml:space="preserve">Typical Access</t>
  </si>
  <si>
    <t xml:space="preserve">Limits</t>
  </si>
  <si>
    <t xml:space="preserve">Engineering</t>
  </si>
  <si>
    <t xml:space="preserve">Implements events, collection, storage and the pipeline</t>
  </si>
  <si>
    <t xml:space="preserve">Technical implementation access to collection, raw zone, reference data and pipeline health</t>
  </si>
  <si>
    <t xml:space="preserve">Sees Restricted fields only where needed to build or debug; no routine exports</t>
  </si>
  <si>
    <t xml:space="preserve">Data Analyst</t>
  </si>
  <si>
    <t xml:space="preserve">Builds and maintains the analytics layer, quality rules and dashboards</t>
  </si>
  <si>
    <t xml:space="preserve">Approved analytical datasets: raw (read), clean, analytics and reporting; quarantine triage</t>
  </si>
  <si>
    <t xml:space="preserve">Restricted fields limited to named analysts working on wallet and withdrawals</t>
  </si>
  <si>
    <t xml:space="preserve">Product / Operations</t>
  </si>
  <si>
    <t xml:space="preserve">Uses reporting to make product and operational decisions</t>
  </si>
  <si>
    <t xml:space="preserve">Aggregated business reporting and dashboards</t>
  </si>
  <si>
    <t xml:space="preserve">No row-level data; small-group suppression applies</t>
  </si>
  <si>
    <t xml:space="preserve">Finance / Management (added)</t>
  </si>
  <si>
    <t xml:space="preserve">Reviews rewards, wallet and withdrawal totals and trends</t>
  </si>
  <si>
    <t xml:space="preserve">Aggregated reporting including aggregated amounts</t>
  </si>
  <si>
    <t xml:space="preserve">No row-level data; amounts only per unit</t>
  </si>
  <si>
    <t xml:space="preserve">Content Team</t>
  </si>
  <si>
    <t xml:space="preserve">Plans help, task and mission content</t>
  </si>
  <si>
    <t xml:space="preserve">Aggregated content performance data where required</t>
  </si>
  <si>
    <t xml:space="preserve">No user-level data</t>
  </si>
  <si>
    <t xml:space="preserve">Intern</t>
  </si>
  <si>
    <t xml:space="preserve">Works on analysis, specifications and test datasets</t>
  </si>
  <si>
    <t xml:space="preserve">Only approved or sanitised datasets, including simulated data</t>
  </si>
  <si>
    <t xml:space="preserve">No production row-level data, no Restricted fields, no credentials</t>
  </si>
  <si>
    <t xml:space="preserve">Zone</t>
  </si>
  <si>
    <t xml:space="preserve">Finance / Management</t>
  </si>
  <si>
    <t xml:space="preserve">Operational database</t>
  </si>
  <si>
    <t xml:space="preserve">-</t>
  </si>
  <si>
    <t xml:space="preserve">Not managed here (extract only)</t>
  </si>
  <si>
    <t xml:space="preserve">Raw zone</t>
  </si>
  <si>
    <t xml:space="preserve">Full</t>
  </si>
  <si>
    <t xml:space="preserve">Read</t>
  </si>
  <si>
    <t xml:space="preserve">Quarantine</t>
  </si>
  <si>
    <t xml:space="preserve">Read and resolve</t>
  </si>
  <si>
    <t xml:space="preserve">Clean zone</t>
  </si>
  <si>
    <t xml:space="preserve">Analytics layer</t>
  </si>
  <si>
    <t xml:space="preserve">Full (build)</t>
  </si>
  <si>
    <t xml:space="preserve">Aggregated</t>
  </si>
  <si>
    <t xml:space="preserve">Aggregated (content metrics)</t>
  </si>
  <si>
    <t xml:space="preserve">Approved datasets</t>
  </si>
  <si>
    <t xml:space="preserve">Reporting / dashboards</t>
  </si>
  <si>
    <t xml:space="preserve">Simulated zone</t>
  </si>
  <si>
    <t xml:space="preserve">Reference data (lists, catalogue, dictionary)</t>
  </si>
  <si>
    <t xml:space="preserve">Write</t>
  </si>
  <si>
    <t xml:space="preserve">Approve</t>
  </si>
  <si>
    <t xml:space="preserve">Pipeline health view</t>
  </si>
  <si>
    <t xml:space="preserve">Documentation and specifications</t>
  </si>
  <si>
    <t xml:space="preserve">Public</t>
  </si>
  <si>
    <t xml:space="preserve">Internal</t>
  </si>
  <si>
    <t xml:space="preserve">Restricted</t>
  </si>
  <si>
    <t xml:space="preserve">Only where needed to implement or debug; no routine export</t>
  </si>
  <si>
    <t xml:space="preserve">Named analysts only, for wallet and withdrawal work</t>
  </si>
  <si>
    <t xml:space="preserve">Aggregated only</t>
  </si>
  <si>
    <t xml:space="preserve">Aggregated amounts per unit only</t>
  </si>
  <si>
    <t xml:space="preserve">Aggregated content metrics only</t>
  </si>
  <si>
    <t xml:space="preserve">No access</t>
  </si>
  <si>
    <t xml:space="preserve">Sanitised or simulated only</t>
  </si>
  <si>
    <t xml:space="preserve">Information</t>
  </si>
  <si>
    <t xml:space="preserve">Why It Must Not Be Exposed</t>
  </si>
  <si>
    <t xml:space="preserve">Where It May Legitimately Exist</t>
  </si>
  <si>
    <t xml:space="preserve">Rule for Analytics and Documents</t>
  </si>
  <si>
    <t xml:space="preserve">If Found</t>
  </si>
  <si>
    <t xml:space="preserve">Passwords</t>
  </si>
  <si>
    <t xml:space="preserve">Gives account access</t>
  </si>
  <si>
    <t xml:space="preserve">The authentication system only</t>
  </si>
  <si>
    <t xml:space="preserve">Never collected, stored, logged or written into any document or dataset</t>
  </si>
  <si>
    <t xml:space="preserve">Do not copy or share; tell Engineering; remove through quarantine</t>
  </si>
  <si>
    <t xml:space="preserve">Authentication secrets (tokens, session secrets)</t>
  </si>
  <si>
    <t xml:space="preserve">Allow impersonation</t>
  </si>
  <si>
    <t xml:space="preserve">Never in events, payloads or datasets</t>
  </si>
  <si>
    <t xml:space="preserve">Same; Engineering rotates the secret</t>
  </si>
  <si>
    <t xml:space="preserve">API keys</t>
  </si>
  <si>
    <t xml:space="preserve">Allow use of VELOOP or partner systems</t>
  </si>
  <si>
    <t xml:space="preserve">A secrets store managed by Engineering</t>
  </si>
  <si>
    <t xml:space="preserve">Never in code samples, specs, spreadsheets or datasets</t>
  </si>
  <si>
    <t xml:space="preserve">Same; Engineering revokes and reissues the key</t>
  </si>
  <si>
    <t xml:space="preserve">Payment credentials</t>
  </si>
  <si>
    <t xml:space="preserve">Financial harm</t>
  </si>
  <si>
    <t xml:space="preserve">The payment or payout provider</t>
  </si>
  <si>
    <t xml:space="preserve">Never collected; only a provider reference id may appear</t>
  </si>
  <si>
    <t xml:space="preserve">Same; report immediately</t>
  </si>
  <si>
    <t xml:space="preserve">Private credentials (database logins, service accounts)</t>
  </si>
  <si>
    <t xml:space="preserve">Allow access to data and systems</t>
  </si>
  <si>
    <t xml:space="preserve">Never shared by message or stored in analyst tools</t>
  </si>
  <si>
    <t xml:space="preserve">Same; Engineering rotates</t>
  </si>
  <si>
    <t xml:space="preserve">Sensitive security controls (fraud thresholds, detection rules, bypass details)</t>
  </si>
  <si>
    <t xml:space="preserve">Would help someone avoid controls</t>
  </si>
  <si>
    <t xml:space="preserve">Security and Operations only</t>
  </si>
  <si>
    <t xml:space="preserve">This work does not invent, reverse-engineer or document them; reason categories only</t>
  </si>
  <si>
    <t xml:space="preserve">Do not use or share; tell the owner</t>
  </si>
  <si>
    <t xml:space="preserve">Personal identifiers (name, email, phone, date of birth, identity documents)</t>
  </si>
  <si>
    <t xml:space="preserve">Identify a person</t>
  </si>
  <si>
    <t xml:space="preserve">Where the product legitimately needs them, not in analytics</t>
  </si>
  <si>
    <t xml:space="preserve">Excluded from the data dictionary and events (Work Package B)</t>
  </si>
  <si>
    <t xml:space="preserve">Quarantine and report</t>
  </si>
  <si>
    <t xml:space="preserve">Precise location and raw IP address</t>
  </si>
  <si>
    <t xml:space="preserve">Locate a person</t>
  </si>
  <si>
    <t xml:space="preserve">Product or security logs, if any</t>
  </si>
  <si>
    <t xml:space="preserve">Country code only; raw IP not carried into analytics</t>
  </si>
  <si>
    <t xml:space="preserve">Payout account details</t>
  </si>
  <si>
    <t xml:space="preserve">Financial harm and identification</t>
  </si>
  <si>
    <t xml:space="preserve">The payout provider</t>
  </si>
  <si>
    <t xml:space="preserve">Only provider reference ids; Restricted</t>
  </si>
  <si>
    <t xml:space="preserve">Free-text support messages and reviewer notes</t>
  </si>
  <si>
    <t xml:space="preserve">May contain personal data</t>
  </si>
  <si>
    <t xml:space="preserve">The support system</t>
  </si>
  <si>
    <t xml:space="preserve">Category fields only</t>
  </si>
  <si>
    <t xml:space="preserve">Strip free text before use</t>
  </si>
  <si>
    <t xml:space="preserve">Entity</t>
  </si>
  <si>
    <t xml:space="preserve">Data Owner (accountable for meaning and access approval)</t>
  </si>
  <si>
    <t xml:space="preserve">Data Steward (day-to-day quality)</t>
  </si>
  <si>
    <t xml:space="preserve">Sensitivity Focus</t>
  </si>
  <si>
    <t xml:space="preserve">Status</t>
  </si>
  <si>
    <t xml:space="preserve">Users</t>
  </si>
  <si>
    <t xml:space="preserve">Product</t>
  </si>
  <si>
    <t xml:space="preserve">Proposed</t>
  </si>
  <si>
    <t xml:space="preserve">Account_Status_History</t>
  </si>
  <si>
    <t xml:space="preserve">Operations</t>
  </si>
  <si>
    <t xml:space="preserve">Tasks</t>
  </si>
  <si>
    <t xml:space="preserve">Public / Internal</t>
  </si>
  <si>
    <t xml:space="preserve">Task_Activity</t>
  </si>
  <si>
    <t xml:space="preserve">Rewards</t>
  </si>
  <si>
    <t xml:space="preserve">Finance</t>
  </si>
  <si>
    <t xml:space="preserve">Wallet_Transactions</t>
  </si>
  <si>
    <t xml:space="preserve">Restricted amounts</t>
  </si>
  <si>
    <t xml:space="preserve">Withdrawals</t>
  </si>
  <si>
    <t xml:space="preserve">Restricted amounts and methods</t>
  </si>
  <si>
    <t xml:space="preserve">Referrals</t>
  </si>
  <si>
    <t xml:space="preserve">Feature_Events</t>
  </si>
  <si>
    <t xml:space="preserve">Support_Tickets</t>
  </si>
  <si>
    <t xml:space="preserve">To Be Verified</t>
  </si>
  <si>
    <t xml:space="preserve">Step</t>
  </si>
  <si>
    <t xml:space="preserve">Action</t>
  </si>
  <si>
    <t xml:space="preserve">Who</t>
  </si>
  <si>
    <t xml:space="preserve">Notes</t>
  </si>
  <si>
    <t xml:space="preserve">1</t>
  </si>
  <si>
    <t xml:space="preserve">Request: who needs what data, for what purpose, for how long</t>
  </si>
  <si>
    <t xml:space="preserve">Requester</t>
  </si>
  <si>
    <t xml:space="preserve">Written; names the dataset, not just 'access'</t>
  </si>
  <si>
    <t xml:space="preserve">2</t>
  </si>
  <si>
    <t xml:space="preserve">Check need and sensitivity against the access matrix</t>
  </si>
  <si>
    <t xml:space="preserve">Reject if the need can be met with aggregated data</t>
  </si>
  <si>
    <t xml:space="preserve">3</t>
  </si>
  <si>
    <t xml:space="preserve">Data owner; Restricted data also needs the Product lead</t>
  </si>
  <si>
    <t xml:space="preserve">Approval recorded</t>
  </si>
  <si>
    <t xml:space="preserve">4</t>
  </si>
  <si>
    <t xml:space="preserve">Grant least privilege, time-boxed</t>
  </si>
  <si>
    <t xml:space="preserve">Separate named credentials; no shared accounts</t>
  </si>
  <si>
    <t xml:space="preserve">5</t>
  </si>
  <si>
    <t xml:space="preserve">Log the grant and the dataset provided</t>
  </si>
  <si>
    <t xml:space="preserve">Access log kept</t>
  </si>
  <si>
    <t xml:space="preserve">6</t>
  </si>
  <si>
    <t xml:space="preserve">Review access periodically (cadence to be agreed)</t>
  </si>
  <si>
    <t xml:space="preserve">Data owner</t>
  </si>
  <si>
    <t xml:space="preserve">Remove unused access</t>
  </si>
  <si>
    <t xml:space="preserve">7</t>
  </si>
  <si>
    <t xml:space="preserve">Revoke on role change, project end or internship end</t>
  </si>
  <si>
    <t xml:space="preserve">Includes returning copies of exports</t>
  </si>
  <si>
    <t xml:space="preserve">#</t>
  </si>
  <si>
    <t xml:space="preserve">Check Before a Dataset Goes to an Intern</t>
  </si>
  <si>
    <t xml:space="preserve">Done by</t>
  </si>
  <si>
    <t xml:space="preserve">The dataset is simulated or sanitised, and says so in its label and generation notes</t>
  </si>
  <si>
    <t xml:space="preserve">No personal information (names, contacts, date of birth, location, raw IP)</t>
  </si>
  <si>
    <t xml:space="preserve">IDs are pseudonymous and any mapping key stays with Engineering</t>
  </si>
  <si>
    <t xml:space="preserve">Restricted fields (amounts, methods, payout references) are removed or aggregated unless specifically approved</t>
  </si>
  <si>
    <t xml:space="preserve">A scan finds no passwords, keys, tokens or credentials</t>
  </si>
  <si>
    <t xml:space="preserve">No segment is small enough to identify an individual (threshold to be agreed)</t>
  </si>
  <si>
    <t xml:space="preserve">Access is time-boxed and logged, and ends with the assignment</t>
  </si>
  <si>
    <t xml:space="preserve">8</t>
  </si>
  <si>
    <t xml:space="preserve">Outputs are reviewed before leaving the team, so no production row-level data is included</t>
  </si>
  <si>
    <t xml:space="preserve">Topic</t>
  </si>
  <si>
    <t xml:space="preserve">Proposed Approach (outline)</t>
  </si>
  <si>
    <t xml:space="preserve">Needs</t>
  </si>
  <si>
    <t xml:space="preserve">Retention of raw data</t>
  </si>
  <si>
    <t xml:space="preserve">Define a retention period per zone; delete or anonymise after it</t>
  </si>
  <si>
    <t xml:space="preserve">Legal and Product input; applicable rules depend on user geography (A016)</t>
  </si>
  <si>
    <t xml:space="preserve">User closure or deletion requests</t>
  </si>
  <si>
    <t xml:space="preserve">Use user_id to find a user's records; because the raw zone is append-only, handle requests by anonymising records through a controlled process rather than editing history</t>
  </si>
  <si>
    <t xml:space="preserve">Legal advice and an engineering design</t>
  </si>
  <si>
    <t xml:space="preserve">User access requests</t>
  </si>
  <si>
    <t xml:space="preserve">Provide a user's own data through a defined process using user_id</t>
  </si>
  <si>
    <t xml:space="preserve">Legal and Product input</t>
  </si>
  <si>
    <t xml:space="preserve">Notice and consent</t>
  </si>
  <si>
    <t xml:space="preserve">Make sure what is collected matches what users are told</t>
  </si>
  <si>
    <t xml:space="preserve">Legal and Product review of events and fields</t>
  </si>
  <si>
    <t xml:space="preserve">Cross-border storage and access</t>
  </si>
  <si>
    <t xml:space="preserve">Record where data is stored and who can access it from where</t>
  </si>
  <si>
    <t xml:space="preserve">Hosting decision (A011) and Legal</t>
  </si>
  <si>
    <t xml:space="preserve">Incident response</t>
  </si>
  <si>
    <t xml:space="preserve">If personal data or a secret is found where it should not be, stop, contain, notify the owner and record it</t>
  </si>
  <si>
    <t xml:space="preserve">Security and Legal procedure</t>
  </si>
  <si>
    <t xml:space="preserve">Field</t>
  </si>
  <si>
    <t xml:space="preserve">Sensitivity</t>
  </si>
  <si>
    <t xml:space="preserve">user_id</t>
  </si>
  <si>
    <t xml:space="preserve">registered_at</t>
  </si>
  <si>
    <t xml:space="preserve">registration_source</t>
  </si>
  <si>
    <t xml:space="preserve">registration_method</t>
  </si>
  <si>
    <t xml:space="preserve">platform</t>
  </si>
  <si>
    <t xml:space="preserve">app_version</t>
  </si>
  <si>
    <t xml:space="preserve">country_code</t>
  </si>
  <si>
    <t xml:space="preserve">language_code</t>
  </si>
  <si>
    <t xml:space="preserve">referral_code_used</t>
  </si>
  <si>
    <t xml:space="preserve">campaign_id</t>
  </si>
  <si>
    <t xml:space="preserve">onboarding_status</t>
  </si>
  <si>
    <t xml:space="preserve">onboarding_started_at</t>
  </si>
  <si>
    <t xml:space="preserve">onboarding_completed_at</t>
  </si>
  <si>
    <t xml:space="preserve">first_activity_at</t>
  </si>
  <si>
    <t xml:space="preserve">first_reward_credited_at</t>
  </si>
  <si>
    <t xml:space="preserve">last_login_at</t>
  </si>
  <si>
    <t xml:space="preserve">last_activity_at</t>
  </si>
  <si>
    <t xml:space="preserve">account_status</t>
  </si>
  <si>
    <t xml:space="preserve">status_changed_at</t>
  </si>
  <si>
    <t xml:space="preserve">account_closed_at</t>
  </si>
  <si>
    <t xml:space="preserve">lifecycle_stage</t>
  </si>
  <si>
    <t xml:space="preserve">status_history_id</t>
  </si>
  <si>
    <t xml:space="preserve">previous_status</t>
  </si>
  <si>
    <t xml:space="preserve">new_status</t>
  </si>
  <si>
    <t xml:space="preserve">changed_at</t>
  </si>
  <si>
    <t xml:space="preserve">status_change_actor</t>
  </si>
  <si>
    <t xml:space="preserve">status_reason_category</t>
  </si>
  <si>
    <t xml:space="preserve">task_id</t>
  </si>
  <si>
    <t xml:space="preserve">task_type</t>
  </si>
  <si>
    <t xml:space="preserve">feature</t>
  </si>
  <si>
    <t xml:space="preserve">task_title</t>
  </si>
  <si>
    <t xml:space="preserve">is_active</t>
  </si>
  <si>
    <t xml:space="preserve">validation_method</t>
  </si>
  <si>
    <t xml:space="preserve">provider_name</t>
  </si>
  <si>
    <t xml:space="preserve">created_at</t>
  </si>
  <si>
    <t xml:space="preserve">task_activity_id</t>
  </si>
  <si>
    <t xml:space="preserve">attempt_number</t>
  </si>
  <si>
    <t xml:space="preserve">started_at</t>
  </si>
  <si>
    <t xml:space="preserve">completion_claimed_at</t>
  </si>
  <si>
    <t xml:space="preserve">completed_at</t>
  </si>
  <si>
    <t xml:space="preserve">status</t>
  </si>
  <si>
    <t xml:space="preserve">validation_status</t>
  </si>
  <si>
    <t xml:space="preserve">validation_completed_at</t>
  </si>
  <si>
    <t xml:space="preserve">reward_id</t>
  </si>
  <si>
    <t xml:space="preserve">reward_amount</t>
  </si>
  <si>
    <t xml:space="preserve">reward_unit</t>
  </si>
  <si>
    <t xml:space="preserve">failure_category</t>
  </si>
  <si>
    <t xml:space="preserve">failure_detail_code</t>
  </si>
  <si>
    <t xml:space="preserve">source</t>
  </si>
  <si>
    <t xml:space="preserve">provider_reference_id</t>
  </si>
  <si>
    <t xml:space="preserve">source_feature</t>
  </si>
  <si>
    <t xml:space="preserve">reward_status</t>
  </si>
  <si>
    <t xml:space="preserve">pending_reason</t>
  </si>
  <si>
    <t xml:space="preserve">credited_at</t>
  </si>
  <si>
    <t xml:space="preserve">reversed_at</t>
  </si>
  <si>
    <t xml:space="preserve">original_reward_id</t>
  </si>
  <si>
    <t xml:space="preserve">wallet_transaction_id</t>
  </si>
  <si>
    <t xml:space="preserve">reason_category</t>
  </si>
  <si>
    <t xml:space="preserve">transaction_id</t>
  </si>
  <si>
    <t xml:space="preserve">idempotency_key</t>
  </si>
  <si>
    <t xml:space="preserve">transaction_type</t>
  </si>
  <si>
    <t xml:space="preserve">direction</t>
  </si>
  <si>
    <t xml:space="preserve">amount</t>
  </si>
  <si>
    <t xml:space="preserve">unit</t>
  </si>
  <si>
    <t xml:space="preserve">reference_id</t>
  </si>
  <si>
    <t xml:space="preserve">related_transaction_id</t>
  </si>
  <si>
    <t xml:space="preserve">exchange_group_id</t>
  </si>
  <si>
    <t xml:space="preserve">balance_after</t>
  </si>
  <si>
    <t xml:space="preserve">withdrawal_id</t>
  </si>
  <si>
    <t xml:space="preserve">requested_amount</t>
  </si>
  <si>
    <t xml:space="preserve">requested_unit</t>
  </si>
  <si>
    <t xml:space="preserve">method</t>
  </si>
  <si>
    <t xml:space="preserve">requested_at</t>
  </si>
  <si>
    <t xml:space="preserve">processing_at</t>
  </si>
  <si>
    <t xml:space="preserve">final_at</t>
  </si>
  <si>
    <t xml:space="preserve">completed_amount</t>
  </si>
  <si>
    <t xml:space="preserve">reviewer_type</t>
  </si>
  <si>
    <t xml:space="preserve">payout_provider_reference_id</t>
  </si>
  <si>
    <t xml:space="preserve">referral_id</t>
  </si>
  <si>
    <t xml:space="preserve">referring_user_id</t>
  </si>
  <si>
    <t xml:space="preserve">referred_user_id</t>
  </si>
  <si>
    <t xml:space="preserve">referral_code</t>
  </si>
  <si>
    <t xml:space="preserve">activated_at</t>
  </si>
  <si>
    <t xml:space="preserve">converted_at</t>
  </si>
  <si>
    <t xml:space="preserve">source_channel</t>
  </si>
  <si>
    <t xml:space="preserve">activation_rule_version</t>
  </si>
  <si>
    <t xml:space="preserve">referral_reward_id</t>
  </si>
  <si>
    <t xml:space="preserve">closed_reason_category</t>
  </si>
  <si>
    <t xml:space="preserve">event_id</t>
  </si>
  <si>
    <t xml:space="preserve">event_name</t>
  </si>
  <si>
    <t xml:space="preserve">event_timestamp</t>
  </si>
  <si>
    <t xml:space="preserve">received_timestamp</t>
  </si>
  <si>
    <t xml:space="preserve">schema_version</t>
  </si>
  <si>
    <t xml:space="preserve">session_id</t>
  </si>
  <si>
    <t xml:space="preserve">properties</t>
  </si>
  <si>
    <t xml:space="preserve">ticket_id</t>
  </si>
  <si>
    <t xml:space="preserve">issue_category</t>
  </si>
  <si>
    <t xml:space="preserve">resolved_at</t>
  </si>
  <si>
    <t xml:space="preserve">ticket_status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</si>
</sst>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4B6B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4B6B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  <row r="31" customFormat="false" ht="15" hidden="false" customHeight="false" outlineLevel="0" collapsed="false">
      <c r="A31" s="4" t="s">
        <v>26</v>
      </c>
    </row>
    <row r="32" customFormat="false" ht="15" hidden="false" customHeight="false" outlineLevel="0" collapsed="false">
      <c r="A32" s="5" t="s">
        <v>27</v>
      </c>
      <c r="B32" s="5" t="n">
        <f aca="false">COUNTA(Roles!A:A)-1</f>
        <v>6</v>
      </c>
    </row>
    <row r="33" customFormat="false" ht="15" hidden="false" customHeight="false" outlineLevel="0" collapsed="false">
      <c r="A33" s="5" t="s">
        <v>28</v>
      </c>
      <c r="B33" s="5" t="n">
        <f aca="false">COUNTA(Access_Matrix!A:A)-1</f>
        <v>10</v>
      </c>
    </row>
    <row r="34" customFormat="false" ht="15" hidden="false" customHeight="false" outlineLevel="0" collapsed="false">
      <c r="A34" s="5" t="s">
        <v>29</v>
      </c>
      <c r="B34" s="5" t="n">
        <f aca="false">COUNTA(Field_Sensitivity!A:A)-1</f>
        <v>128</v>
      </c>
    </row>
    <row r="35" customFormat="false" ht="15" hidden="false" customHeight="false" outlineLevel="0" collapsed="false">
      <c r="A35" s="5" t="s">
        <v>30</v>
      </c>
      <c r="B35" s="5" t="n">
        <f aca="false">COUNTIF(Field_Sensitivity!C:C,"Restricted")</f>
        <v>6</v>
      </c>
    </row>
    <row r="36" customFormat="false" ht="15" hidden="false" customHeight="false" outlineLevel="0" collapsed="false">
      <c r="A36" s="5" t="s">
        <v>31</v>
      </c>
      <c r="B36" s="5" t="n">
        <f aca="false">COUNTA(Governance_Owners!A:A)-1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4" min="3" style="0" width="60"/>
  </cols>
  <sheetData>
    <row r="1" customFormat="false" ht="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</row>
    <row r="2" customFormat="false" ht="23.85" hidden="false" customHeight="false" outlineLevel="0" collapsed="false">
      <c r="A2" s="7" t="s">
        <v>36</v>
      </c>
      <c r="B2" s="7" t="s">
        <v>37</v>
      </c>
      <c r="C2" s="7" t="s">
        <v>38</v>
      </c>
      <c r="D2" s="7" t="s">
        <v>39</v>
      </c>
    </row>
    <row r="3" customFormat="false" ht="23.85" hidden="false" customHeight="false" outlineLevel="0" collapsed="false">
      <c r="A3" s="7" t="s">
        <v>40</v>
      </c>
      <c r="B3" s="7" t="s">
        <v>41</v>
      </c>
      <c r="C3" s="7" t="s">
        <v>42</v>
      </c>
      <c r="D3" s="7" t="s">
        <v>43</v>
      </c>
    </row>
    <row r="4" customFormat="false" ht="15" hidden="false" customHeight="false" outlineLevel="0" collapsed="false">
      <c r="A4" s="7" t="s">
        <v>44</v>
      </c>
      <c r="B4" s="7" t="s">
        <v>45</v>
      </c>
      <c r="C4" s="7" t="s">
        <v>46</v>
      </c>
      <c r="D4" s="7" t="s">
        <v>47</v>
      </c>
    </row>
    <row r="5" customFormat="false" ht="15" hidden="false" customHeight="false" outlineLevel="0" collapsed="false">
      <c r="A5" s="7" t="s">
        <v>48</v>
      </c>
      <c r="B5" s="7" t="s">
        <v>49</v>
      </c>
      <c r="C5" s="7" t="s">
        <v>50</v>
      </c>
      <c r="D5" s="7" t="s">
        <v>51</v>
      </c>
    </row>
    <row r="6" customFormat="false" ht="15" hidden="false" customHeight="false" outlineLevel="0" collapsed="false">
      <c r="A6" s="7" t="s">
        <v>52</v>
      </c>
      <c r="B6" s="7" t="s">
        <v>53</v>
      </c>
      <c r="C6" s="7" t="s">
        <v>54</v>
      </c>
      <c r="D6" s="7" t="s">
        <v>55</v>
      </c>
    </row>
    <row r="7" customFormat="false" ht="15" hidden="false" customHeight="false" outlineLevel="0" collapsed="false">
      <c r="A7" s="7" t="s">
        <v>56</v>
      </c>
      <c r="B7" s="7" t="s">
        <v>57</v>
      </c>
      <c r="C7" s="7" t="s">
        <v>58</v>
      </c>
      <c r="D7" s="7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5" min="3" style="0" width="22"/>
    <col collapsed="false" customWidth="true" hidden="false" outlineLevel="0" max="6" min="6" style="0" width="26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6" t="s">
        <v>60</v>
      </c>
      <c r="B1" s="6" t="s">
        <v>36</v>
      </c>
      <c r="C1" s="6" t="s">
        <v>40</v>
      </c>
      <c r="D1" s="6" t="s">
        <v>44</v>
      </c>
      <c r="E1" s="6" t="s">
        <v>61</v>
      </c>
      <c r="F1" s="6" t="s">
        <v>52</v>
      </c>
      <c r="G1" s="6" t="s">
        <v>56</v>
      </c>
    </row>
    <row r="2" customFormat="false" ht="23.85" hidden="false" customHeight="false" outlineLevel="0" collapsed="false">
      <c r="A2" s="7" t="s">
        <v>62</v>
      </c>
      <c r="B2" s="7" t="s">
        <v>63</v>
      </c>
      <c r="C2" s="7" t="s">
        <v>64</v>
      </c>
      <c r="D2" s="7" t="s">
        <v>63</v>
      </c>
      <c r="E2" s="7" t="s">
        <v>63</v>
      </c>
      <c r="F2" s="7" t="s">
        <v>63</v>
      </c>
      <c r="G2" s="7" t="s">
        <v>63</v>
      </c>
    </row>
    <row r="3" customFormat="false" ht="15" hidden="false" customHeight="false" outlineLevel="0" collapsed="false">
      <c r="A3" s="7" t="s">
        <v>65</v>
      </c>
      <c r="B3" s="7" t="s">
        <v>66</v>
      </c>
      <c r="C3" s="7" t="s">
        <v>67</v>
      </c>
      <c r="D3" s="7" t="s">
        <v>63</v>
      </c>
      <c r="E3" s="7" t="s">
        <v>63</v>
      </c>
      <c r="F3" s="7" t="s">
        <v>63</v>
      </c>
      <c r="G3" s="7" t="s">
        <v>63</v>
      </c>
    </row>
    <row r="4" customFormat="false" ht="15" hidden="false" customHeight="false" outlineLevel="0" collapsed="false">
      <c r="A4" s="7" t="s">
        <v>68</v>
      </c>
      <c r="B4" s="7" t="s">
        <v>66</v>
      </c>
      <c r="C4" s="7" t="s">
        <v>69</v>
      </c>
      <c r="D4" s="7" t="s">
        <v>63</v>
      </c>
      <c r="E4" s="7" t="s">
        <v>63</v>
      </c>
      <c r="F4" s="7" t="s">
        <v>63</v>
      </c>
      <c r="G4" s="7" t="s">
        <v>63</v>
      </c>
    </row>
    <row r="5" customFormat="false" ht="15" hidden="false" customHeight="false" outlineLevel="0" collapsed="false">
      <c r="A5" s="7" t="s">
        <v>70</v>
      </c>
      <c r="B5" s="7" t="s">
        <v>67</v>
      </c>
      <c r="C5" s="7" t="s">
        <v>67</v>
      </c>
      <c r="D5" s="7" t="s">
        <v>63</v>
      </c>
      <c r="E5" s="7" t="s">
        <v>63</v>
      </c>
      <c r="F5" s="7" t="s">
        <v>63</v>
      </c>
      <c r="G5" s="7" t="s">
        <v>63</v>
      </c>
    </row>
    <row r="6" customFormat="false" ht="15" hidden="false" customHeight="false" outlineLevel="0" collapsed="false">
      <c r="A6" s="7" t="s">
        <v>71</v>
      </c>
      <c r="B6" s="7" t="s">
        <v>67</v>
      </c>
      <c r="C6" s="7" t="s">
        <v>72</v>
      </c>
      <c r="D6" s="7" t="s">
        <v>73</v>
      </c>
      <c r="E6" s="7" t="s">
        <v>73</v>
      </c>
      <c r="F6" s="7" t="s">
        <v>74</v>
      </c>
      <c r="G6" s="7" t="s">
        <v>75</v>
      </c>
    </row>
    <row r="7" customFormat="false" ht="15" hidden="false" customHeight="false" outlineLevel="0" collapsed="false">
      <c r="A7" s="7" t="s">
        <v>76</v>
      </c>
      <c r="B7" s="7" t="s">
        <v>67</v>
      </c>
      <c r="C7" s="7" t="s">
        <v>72</v>
      </c>
      <c r="D7" s="7" t="s">
        <v>73</v>
      </c>
      <c r="E7" s="7" t="s">
        <v>73</v>
      </c>
      <c r="F7" s="7" t="s">
        <v>74</v>
      </c>
      <c r="G7" s="7" t="s">
        <v>75</v>
      </c>
    </row>
    <row r="8" customFormat="false" ht="15" hidden="false" customHeight="false" outlineLevel="0" collapsed="false">
      <c r="A8" s="7" t="s">
        <v>77</v>
      </c>
      <c r="B8" s="7" t="s">
        <v>67</v>
      </c>
      <c r="C8" s="7" t="s">
        <v>66</v>
      </c>
      <c r="D8" s="7" t="s">
        <v>73</v>
      </c>
      <c r="E8" s="7" t="s">
        <v>63</v>
      </c>
      <c r="F8" s="7" t="s">
        <v>63</v>
      </c>
      <c r="G8" s="7" t="s">
        <v>75</v>
      </c>
    </row>
    <row r="9" customFormat="false" ht="15" hidden="false" customHeight="false" outlineLevel="0" collapsed="false">
      <c r="A9" s="7" t="s">
        <v>78</v>
      </c>
      <c r="B9" s="7" t="s">
        <v>79</v>
      </c>
      <c r="C9" s="7" t="s">
        <v>79</v>
      </c>
      <c r="D9" s="7" t="s">
        <v>80</v>
      </c>
      <c r="E9" s="7" t="s">
        <v>67</v>
      </c>
      <c r="F9" s="7" t="s">
        <v>67</v>
      </c>
      <c r="G9" s="7" t="s">
        <v>67</v>
      </c>
    </row>
    <row r="10" customFormat="false" ht="15" hidden="false" customHeight="false" outlineLevel="0" collapsed="false">
      <c r="A10" s="7" t="s">
        <v>81</v>
      </c>
      <c r="B10" s="7" t="s">
        <v>66</v>
      </c>
      <c r="C10" s="7" t="s">
        <v>66</v>
      </c>
      <c r="D10" s="7" t="s">
        <v>67</v>
      </c>
      <c r="E10" s="7" t="s">
        <v>67</v>
      </c>
      <c r="F10" s="7" t="s">
        <v>63</v>
      </c>
      <c r="G10" s="7" t="s">
        <v>63</v>
      </c>
    </row>
    <row r="11" customFormat="false" ht="15" hidden="false" customHeight="false" outlineLevel="0" collapsed="false">
      <c r="A11" s="7" t="s">
        <v>82</v>
      </c>
      <c r="B11" s="7" t="s">
        <v>67</v>
      </c>
      <c r="C11" s="7" t="s">
        <v>67</v>
      </c>
      <c r="D11" s="7" t="s">
        <v>67</v>
      </c>
      <c r="E11" s="7" t="s">
        <v>67</v>
      </c>
      <c r="F11" s="7" t="s">
        <v>67</v>
      </c>
      <c r="G11" s="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6" t="s">
        <v>32</v>
      </c>
      <c r="B1" s="6" t="s">
        <v>83</v>
      </c>
      <c r="C1" s="6" t="s">
        <v>84</v>
      </c>
      <c r="D1" s="6" t="s">
        <v>85</v>
      </c>
    </row>
    <row r="2" customFormat="false" ht="15" hidden="false" customHeight="false" outlineLevel="0" collapsed="false">
      <c r="A2" s="7" t="s">
        <v>36</v>
      </c>
      <c r="B2" s="7" t="s">
        <v>67</v>
      </c>
      <c r="C2" s="7" t="s">
        <v>67</v>
      </c>
      <c r="D2" s="7" t="s">
        <v>86</v>
      </c>
    </row>
    <row r="3" customFormat="false" ht="15" hidden="false" customHeight="false" outlineLevel="0" collapsed="false">
      <c r="A3" s="7" t="s">
        <v>40</v>
      </c>
      <c r="B3" s="7" t="s">
        <v>67</v>
      </c>
      <c r="C3" s="7" t="s">
        <v>67</v>
      </c>
      <c r="D3" s="7" t="s">
        <v>87</v>
      </c>
    </row>
    <row r="4" customFormat="false" ht="15" hidden="false" customHeight="false" outlineLevel="0" collapsed="false">
      <c r="A4" s="7" t="s">
        <v>44</v>
      </c>
      <c r="B4" s="7" t="s">
        <v>67</v>
      </c>
      <c r="C4" s="7" t="s">
        <v>73</v>
      </c>
      <c r="D4" s="7" t="s">
        <v>88</v>
      </c>
    </row>
    <row r="5" customFormat="false" ht="15" hidden="false" customHeight="false" outlineLevel="0" collapsed="false">
      <c r="A5" s="7" t="s">
        <v>61</v>
      </c>
      <c r="B5" s="7" t="s">
        <v>67</v>
      </c>
      <c r="C5" s="7" t="s">
        <v>73</v>
      </c>
      <c r="D5" s="7" t="s">
        <v>89</v>
      </c>
    </row>
    <row r="6" customFormat="false" ht="15" hidden="false" customHeight="false" outlineLevel="0" collapsed="false">
      <c r="A6" s="7" t="s">
        <v>52</v>
      </c>
      <c r="B6" s="7" t="s">
        <v>67</v>
      </c>
      <c r="C6" s="7" t="s">
        <v>90</v>
      </c>
      <c r="D6" s="7" t="s">
        <v>91</v>
      </c>
    </row>
    <row r="7" customFormat="false" ht="15" hidden="false" customHeight="false" outlineLevel="0" collapsed="false">
      <c r="A7" s="7" t="s">
        <v>56</v>
      </c>
      <c r="B7" s="7" t="s">
        <v>67</v>
      </c>
      <c r="C7" s="7" t="s">
        <v>92</v>
      </c>
      <c r="D7" s="7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36"/>
    <col collapsed="false" customWidth="true" hidden="false" outlineLevel="0" max="4" min="4" style="0" width="56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6" t="s">
        <v>93</v>
      </c>
      <c r="B1" s="6" t="s">
        <v>94</v>
      </c>
      <c r="C1" s="6" t="s">
        <v>95</v>
      </c>
      <c r="D1" s="6" t="s">
        <v>96</v>
      </c>
      <c r="E1" s="6" t="s">
        <v>97</v>
      </c>
    </row>
    <row r="2" customFormat="false" ht="23.85" hidden="false" customHeight="false" outlineLevel="0" collapsed="false">
      <c r="A2" s="7" t="s">
        <v>98</v>
      </c>
      <c r="B2" s="7" t="s">
        <v>99</v>
      </c>
      <c r="C2" s="7" t="s">
        <v>100</v>
      </c>
      <c r="D2" s="7" t="s">
        <v>101</v>
      </c>
      <c r="E2" s="7" t="s">
        <v>102</v>
      </c>
    </row>
    <row r="3" customFormat="false" ht="15" hidden="false" customHeight="false" outlineLevel="0" collapsed="false">
      <c r="A3" s="7" t="s">
        <v>103</v>
      </c>
      <c r="B3" s="7" t="s">
        <v>104</v>
      </c>
      <c r="C3" s="7" t="s">
        <v>100</v>
      </c>
      <c r="D3" s="7" t="s">
        <v>105</v>
      </c>
      <c r="E3" s="7" t="s">
        <v>106</v>
      </c>
    </row>
    <row r="4" customFormat="false" ht="15" hidden="false" customHeight="false" outlineLevel="0" collapsed="false">
      <c r="A4" s="7" t="s">
        <v>107</v>
      </c>
      <c r="B4" s="7" t="s">
        <v>108</v>
      </c>
      <c r="C4" s="7" t="s">
        <v>109</v>
      </c>
      <c r="D4" s="7" t="s">
        <v>110</v>
      </c>
      <c r="E4" s="7" t="s">
        <v>111</v>
      </c>
    </row>
    <row r="5" customFormat="false" ht="15" hidden="false" customHeight="false" outlineLevel="0" collapsed="false">
      <c r="A5" s="7" t="s">
        <v>112</v>
      </c>
      <c r="B5" s="7" t="s">
        <v>113</v>
      </c>
      <c r="C5" s="7" t="s">
        <v>114</v>
      </c>
      <c r="D5" s="7" t="s">
        <v>115</v>
      </c>
      <c r="E5" s="7" t="s">
        <v>116</v>
      </c>
    </row>
    <row r="6" customFormat="false" ht="23.85" hidden="false" customHeight="false" outlineLevel="0" collapsed="false">
      <c r="A6" s="7" t="s">
        <v>117</v>
      </c>
      <c r="B6" s="7" t="s">
        <v>118</v>
      </c>
      <c r="C6" s="7" t="s">
        <v>109</v>
      </c>
      <c r="D6" s="7" t="s">
        <v>119</v>
      </c>
      <c r="E6" s="7" t="s">
        <v>120</v>
      </c>
    </row>
    <row r="7" customFormat="false" ht="23.85" hidden="false" customHeight="false" outlineLevel="0" collapsed="false">
      <c r="A7" s="7" t="s">
        <v>121</v>
      </c>
      <c r="B7" s="7" t="s">
        <v>122</v>
      </c>
      <c r="C7" s="7" t="s">
        <v>123</v>
      </c>
      <c r="D7" s="7" t="s">
        <v>124</v>
      </c>
      <c r="E7" s="7" t="s">
        <v>125</v>
      </c>
    </row>
    <row r="8" customFormat="false" ht="23.85" hidden="false" customHeight="false" outlineLevel="0" collapsed="false">
      <c r="A8" s="7" t="s">
        <v>126</v>
      </c>
      <c r="B8" s="7" t="s">
        <v>127</v>
      </c>
      <c r="C8" s="7" t="s">
        <v>128</v>
      </c>
      <c r="D8" s="7" t="s">
        <v>129</v>
      </c>
      <c r="E8" s="7" t="s">
        <v>130</v>
      </c>
    </row>
    <row r="9" customFormat="false" ht="15" hidden="false" customHeight="false" outlineLevel="0" collapsed="false">
      <c r="A9" s="7" t="s">
        <v>131</v>
      </c>
      <c r="B9" s="7" t="s">
        <v>132</v>
      </c>
      <c r="C9" s="7" t="s">
        <v>133</v>
      </c>
      <c r="D9" s="7" t="s">
        <v>134</v>
      </c>
      <c r="E9" s="7" t="s">
        <v>130</v>
      </c>
    </row>
    <row r="10" customFormat="false" ht="15" hidden="false" customHeight="false" outlineLevel="0" collapsed="false">
      <c r="A10" s="7" t="s">
        <v>135</v>
      </c>
      <c r="B10" s="7" t="s">
        <v>136</v>
      </c>
      <c r="C10" s="7" t="s">
        <v>137</v>
      </c>
      <c r="D10" s="7" t="s">
        <v>138</v>
      </c>
      <c r="E10" s="7" t="s">
        <v>130</v>
      </c>
    </row>
    <row r="11" customFormat="false" ht="15" hidden="false" customHeight="false" outlineLevel="0" collapsed="false">
      <c r="A11" s="7" t="s">
        <v>139</v>
      </c>
      <c r="B11" s="7" t="s">
        <v>140</v>
      </c>
      <c r="C11" s="7" t="s">
        <v>141</v>
      </c>
      <c r="D11" s="7" t="s">
        <v>142</v>
      </c>
      <c r="E11" s="7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4" min="3" style="0" width="30"/>
    <col collapsed="false" customWidth="true" hidden="false" outlineLevel="0" max="5" min="5" style="0" width="14"/>
  </cols>
  <sheetData>
    <row r="1" customFormat="false" ht="23.85" hidden="false" customHeight="false" outlineLevel="0" collapsed="false">
      <c r="A1" s="6" t="s">
        <v>144</v>
      </c>
      <c r="B1" s="6" t="s">
        <v>145</v>
      </c>
      <c r="C1" s="6" t="s">
        <v>146</v>
      </c>
      <c r="D1" s="6" t="s">
        <v>147</v>
      </c>
      <c r="E1" s="6" t="s">
        <v>148</v>
      </c>
    </row>
    <row r="2" customFormat="false" ht="15" hidden="false" customHeight="false" outlineLevel="0" collapsed="false">
      <c r="A2" s="7" t="s">
        <v>149</v>
      </c>
      <c r="B2" s="7" t="s">
        <v>150</v>
      </c>
      <c r="C2" s="7" t="s">
        <v>36</v>
      </c>
      <c r="D2" s="7" t="s">
        <v>84</v>
      </c>
      <c r="E2" s="8" t="s">
        <v>151</v>
      </c>
    </row>
    <row r="3" customFormat="false" ht="15" hidden="false" customHeight="false" outlineLevel="0" collapsed="false">
      <c r="A3" s="7" t="s">
        <v>152</v>
      </c>
      <c r="B3" s="7" t="s">
        <v>153</v>
      </c>
      <c r="C3" s="7" t="s">
        <v>36</v>
      </c>
      <c r="D3" s="7" t="s">
        <v>84</v>
      </c>
      <c r="E3" s="8" t="s">
        <v>151</v>
      </c>
    </row>
    <row r="4" customFormat="false" ht="15" hidden="false" customHeight="false" outlineLevel="0" collapsed="false">
      <c r="A4" s="7" t="s">
        <v>154</v>
      </c>
      <c r="B4" s="7" t="s">
        <v>150</v>
      </c>
      <c r="C4" s="7" t="s">
        <v>52</v>
      </c>
      <c r="D4" s="7" t="s">
        <v>155</v>
      </c>
      <c r="E4" s="8" t="s">
        <v>151</v>
      </c>
    </row>
    <row r="5" customFormat="false" ht="15" hidden="false" customHeight="false" outlineLevel="0" collapsed="false">
      <c r="A5" s="7" t="s">
        <v>156</v>
      </c>
      <c r="B5" s="7" t="s">
        <v>150</v>
      </c>
      <c r="C5" s="7" t="s">
        <v>40</v>
      </c>
      <c r="D5" s="7" t="s">
        <v>84</v>
      </c>
      <c r="E5" s="8" t="s">
        <v>151</v>
      </c>
    </row>
    <row r="6" customFormat="false" ht="15" hidden="false" customHeight="false" outlineLevel="0" collapsed="false">
      <c r="A6" s="7" t="s">
        <v>157</v>
      </c>
      <c r="B6" s="7" t="s">
        <v>158</v>
      </c>
      <c r="C6" s="7" t="s">
        <v>40</v>
      </c>
      <c r="D6" s="7" t="s">
        <v>84</v>
      </c>
      <c r="E6" s="8" t="s">
        <v>151</v>
      </c>
    </row>
    <row r="7" customFormat="false" ht="15" hidden="false" customHeight="false" outlineLevel="0" collapsed="false">
      <c r="A7" s="7" t="s">
        <v>159</v>
      </c>
      <c r="B7" s="7" t="s">
        <v>158</v>
      </c>
      <c r="C7" s="7" t="s">
        <v>36</v>
      </c>
      <c r="D7" s="7" t="s">
        <v>160</v>
      </c>
      <c r="E7" s="8" t="s">
        <v>151</v>
      </c>
    </row>
    <row r="8" customFormat="false" ht="15" hidden="false" customHeight="false" outlineLevel="0" collapsed="false">
      <c r="A8" s="7" t="s">
        <v>161</v>
      </c>
      <c r="B8" s="7" t="s">
        <v>153</v>
      </c>
      <c r="C8" s="7" t="s">
        <v>40</v>
      </c>
      <c r="D8" s="7" t="s">
        <v>162</v>
      </c>
      <c r="E8" s="8" t="s">
        <v>151</v>
      </c>
    </row>
    <row r="9" customFormat="false" ht="15" hidden="false" customHeight="false" outlineLevel="0" collapsed="false">
      <c r="A9" s="7" t="s">
        <v>163</v>
      </c>
      <c r="B9" s="7" t="s">
        <v>150</v>
      </c>
      <c r="C9" s="7" t="s">
        <v>40</v>
      </c>
      <c r="D9" s="7" t="s">
        <v>84</v>
      </c>
      <c r="E9" s="8" t="s">
        <v>151</v>
      </c>
    </row>
    <row r="10" customFormat="false" ht="15" hidden="false" customHeight="false" outlineLevel="0" collapsed="false">
      <c r="A10" s="7" t="s">
        <v>164</v>
      </c>
      <c r="B10" s="7" t="s">
        <v>36</v>
      </c>
      <c r="C10" s="7" t="s">
        <v>40</v>
      </c>
      <c r="D10" s="7" t="s">
        <v>84</v>
      </c>
      <c r="E10" s="8" t="s">
        <v>151</v>
      </c>
    </row>
    <row r="11" customFormat="false" ht="15" hidden="false" customHeight="false" outlineLevel="0" collapsed="false">
      <c r="A11" s="7" t="s">
        <v>165</v>
      </c>
      <c r="B11" s="7" t="s">
        <v>153</v>
      </c>
      <c r="C11" s="7" t="s">
        <v>40</v>
      </c>
      <c r="D11" s="7" t="s">
        <v>84</v>
      </c>
      <c r="E11" s="9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6" t="s">
        <v>167</v>
      </c>
      <c r="B1" s="6" t="s">
        <v>168</v>
      </c>
      <c r="C1" s="6" t="s">
        <v>169</v>
      </c>
      <c r="D1" s="6" t="s">
        <v>170</v>
      </c>
    </row>
    <row r="2" customFormat="false" ht="15" hidden="false" customHeight="false" outlineLevel="0" collapsed="false">
      <c r="A2" s="7" t="s">
        <v>171</v>
      </c>
      <c r="B2" s="7" t="s">
        <v>172</v>
      </c>
      <c r="C2" s="7" t="s">
        <v>173</v>
      </c>
      <c r="D2" s="7" t="s">
        <v>174</v>
      </c>
    </row>
    <row r="3" customFormat="false" ht="15" hidden="false" customHeight="false" outlineLevel="0" collapsed="false">
      <c r="A3" s="7" t="s">
        <v>175</v>
      </c>
      <c r="B3" s="7" t="s">
        <v>176</v>
      </c>
      <c r="C3" s="7" t="s">
        <v>40</v>
      </c>
      <c r="D3" s="7" t="s">
        <v>177</v>
      </c>
    </row>
    <row r="4" customFormat="false" ht="23.85" hidden="false" customHeight="false" outlineLevel="0" collapsed="false">
      <c r="A4" s="7" t="s">
        <v>178</v>
      </c>
      <c r="B4" s="7" t="s">
        <v>80</v>
      </c>
      <c r="C4" s="7" t="s">
        <v>179</v>
      </c>
      <c r="D4" s="7" t="s">
        <v>180</v>
      </c>
    </row>
    <row r="5" customFormat="false" ht="15" hidden="false" customHeight="false" outlineLevel="0" collapsed="false">
      <c r="A5" s="7" t="s">
        <v>181</v>
      </c>
      <c r="B5" s="7" t="s">
        <v>182</v>
      </c>
      <c r="C5" s="7" t="s">
        <v>36</v>
      </c>
      <c r="D5" s="7" t="s">
        <v>183</v>
      </c>
    </row>
    <row r="6" customFormat="false" ht="15" hidden="false" customHeight="false" outlineLevel="0" collapsed="false">
      <c r="A6" s="7" t="s">
        <v>184</v>
      </c>
      <c r="B6" s="7" t="s">
        <v>185</v>
      </c>
      <c r="C6" s="7" t="s">
        <v>40</v>
      </c>
      <c r="D6" s="7" t="s">
        <v>186</v>
      </c>
    </row>
    <row r="7" customFormat="false" ht="15" hidden="false" customHeight="false" outlineLevel="0" collapsed="false">
      <c r="A7" s="7" t="s">
        <v>187</v>
      </c>
      <c r="B7" s="7" t="s">
        <v>188</v>
      </c>
      <c r="C7" s="7" t="s">
        <v>189</v>
      </c>
      <c r="D7" s="7" t="s">
        <v>190</v>
      </c>
    </row>
    <row r="8" customFormat="false" ht="15" hidden="false" customHeight="false" outlineLevel="0" collapsed="false">
      <c r="A8" s="7" t="s">
        <v>191</v>
      </c>
      <c r="B8" s="7" t="s">
        <v>192</v>
      </c>
      <c r="C8" s="7" t="s">
        <v>36</v>
      </c>
      <c r="D8" s="7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6" t="s">
        <v>194</v>
      </c>
      <c r="B1" s="6" t="s">
        <v>195</v>
      </c>
      <c r="C1" s="6" t="s">
        <v>196</v>
      </c>
    </row>
    <row r="2" customFormat="false" ht="15" hidden="false" customHeight="false" outlineLevel="0" collapsed="false">
      <c r="A2" s="7" t="s">
        <v>171</v>
      </c>
      <c r="B2" s="7" t="s">
        <v>197</v>
      </c>
      <c r="C2" s="7" t="s">
        <v>40</v>
      </c>
    </row>
    <row r="3" customFormat="false" ht="15" hidden="false" customHeight="false" outlineLevel="0" collapsed="false">
      <c r="A3" s="7" t="s">
        <v>175</v>
      </c>
      <c r="B3" s="7" t="s">
        <v>198</v>
      </c>
      <c r="C3" s="7" t="s">
        <v>40</v>
      </c>
    </row>
    <row r="4" customFormat="false" ht="15" hidden="false" customHeight="false" outlineLevel="0" collapsed="false">
      <c r="A4" s="7" t="s">
        <v>178</v>
      </c>
      <c r="B4" s="7" t="s">
        <v>199</v>
      </c>
      <c r="C4" s="7" t="s">
        <v>36</v>
      </c>
    </row>
    <row r="5" customFormat="false" ht="15" hidden="false" customHeight="false" outlineLevel="0" collapsed="false">
      <c r="A5" s="7" t="s">
        <v>181</v>
      </c>
      <c r="B5" s="7" t="s">
        <v>200</v>
      </c>
      <c r="C5" s="7" t="s">
        <v>40</v>
      </c>
    </row>
    <row r="6" customFormat="false" ht="15" hidden="false" customHeight="false" outlineLevel="0" collapsed="false">
      <c r="A6" s="7" t="s">
        <v>184</v>
      </c>
      <c r="B6" s="7" t="s">
        <v>201</v>
      </c>
      <c r="C6" s="7" t="s">
        <v>36</v>
      </c>
    </row>
    <row r="7" customFormat="false" ht="15" hidden="false" customHeight="false" outlineLevel="0" collapsed="false">
      <c r="A7" s="7" t="s">
        <v>187</v>
      </c>
      <c r="B7" s="7" t="s">
        <v>202</v>
      </c>
      <c r="C7" s="7" t="s">
        <v>40</v>
      </c>
    </row>
    <row r="8" customFormat="false" ht="15" hidden="false" customHeight="false" outlineLevel="0" collapsed="false">
      <c r="A8" s="7" t="s">
        <v>191</v>
      </c>
      <c r="B8" s="7" t="s">
        <v>203</v>
      </c>
      <c r="C8" s="7" t="s">
        <v>40</v>
      </c>
    </row>
    <row r="9" customFormat="false" ht="15" hidden="false" customHeight="false" outlineLevel="0" collapsed="false">
      <c r="A9" s="7" t="s">
        <v>204</v>
      </c>
      <c r="B9" s="7" t="s">
        <v>205</v>
      </c>
      <c r="C9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56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6" t="s">
        <v>206</v>
      </c>
      <c r="B1" s="6" t="s">
        <v>207</v>
      </c>
      <c r="C1" s="6" t="s">
        <v>208</v>
      </c>
      <c r="D1" s="6" t="s">
        <v>148</v>
      </c>
    </row>
    <row r="2" customFormat="false" ht="23.85" hidden="false" customHeight="false" outlineLevel="0" collapsed="false">
      <c r="A2" s="7" t="s">
        <v>209</v>
      </c>
      <c r="B2" s="7" t="s">
        <v>210</v>
      </c>
      <c r="C2" s="7" t="s">
        <v>211</v>
      </c>
      <c r="D2" s="9" t="s">
        <v>166</v>
      </c>
    </row>
    <row r="3" customFormat="false" ht="35.05" hidden="false" customHeight="false" outlineLevel="0" collapsed="false">
      <c r="A3" s="7" t="s">
        <v>212</v>
      </c>
      <c r="B3" s="7" t="s">
        <v>213</v>
      </c>
      <c r="C3" s="7" t="s">
        <v>214</v>
      </c>
      <c r="D3" s="9" t="s">
        <v>166</v>
      </c>
    </row>
    <row r="4" customFormat="false" ht="15" hidden="false" customHeight="false" outlineLevel="0" collapsed="false">
      <c r="A4" s="7" t="s">
        <v>215</v>
      </c>
      <c r="B4" s="7" t="s">
        <v>216</v>
      </c>
      <c r="C4" s="7" t="s">
        <v>217</v>
      </c>
      <c r="D4" s="9" t="s">
        <v>166</v>
      </c>
    </row>
    <row r="5" customFormat="false" ht="15" hidden="false" customHeight="false" outlineLevel="0" collapsed="false">
      <c r="A5" s="7" t="s">
        <v>218</v>
      </c>
      <c r="B5" s="7" t="s">
        <v>219</v>
      </c>
      <c r="C5" s="7" t="s">
        <v>220</v>
      </c>
      <c r="D5" s="9" t="s">
        <v>166</v>
      </c>
    </row>
    <row r="6" customFormat="false" ht="15" hidden="false" customHeight="false" outlineLevel="0" collapsed="false">
      <c r="A6" s="7" t="s">
        <v>221</v>
      </c>
      <c r="B6" s="7" t="s">
        <v>222</v>
      </c>
      <c r="C6" s="7" t="s">
        <v>223</v>
      </c>
      <c r="D6" s="9" t="s">
        <v>166</v>
      </c>
    </row>
    <row r="7" customFormat="false" ht="23.85" hidden="false" customHeight="false" outlineLevel="0" collapsed="false">
      <c r="A7" s="7" t="s">
        <v>224</v>
      </c>
      <c r="B7" s="7" t="s">
        <v>225</v>
      </c>
      <c r="C7" s="7" t="s">
        <v>226</v>
      </c>
      <c r="D7" s="9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6" t="s">
        <v>144</v>
      </c>
      <c r="B1" s="6" t="s">
        <v>227</v>
      </c>
      <c r="C1" s="6" t="s">
        <v>228</v>
      </c>
    </row>
    <row r="2" customFormat="false" ht="15" hidden="false" customHeight="false" outlineLevel="0" collapsed="false">
      <c r="A2" s="7" t="s">
        <v>149</v>
      </c>
      <c r="B2" s="7" t="s">
        <v>229</v>
      </c>
      <c r="C2" s="10" t="s">
        <v>84</v>
      </c>
    </row>
    <row r="3" customFormat="false" ht="15" hidden="false" customHeight="false" outlineLevel="0" collapsed="false">
      <c r="A3" s="7" t="s">
        <v>149</v>
      </c>
      <c r="B3" s="7" t="s">
        <v>230</v>
      </c>
      <c r="C3" s="10" t="s">
        <v>84</v>
      </c>
    </row>
    <row r="4" customFormat="false" ht="15" hidden="false" customHeight="false" outlineLevel="0" collapsed="false">
      <c r="A4" s="7" t="s">
        <v>149</v>
      </c>
      <c r="B4" s="7" t="s">
        <v>231</v>
      </c>
      <c r="C4" s="10" t="s">
        <v>84</v>
      </c>
    </row>
    <row r="5" customFormat="false" ht="15" hidden="false" customHeight="false" outlineLevel="0" collapsed="false">
      <c r="A5" s="7" t="s">
        <v>149</v>
      </c>
      <c r="B5" s="7" t="s">
        <v>232</v>
      </c>
      <c r="C5" s="10" t="s">
        <v>84</v>
      </c>
    </row>
    <row r="6" customFormat="false" ht="15" hidden="false" customHeight="false" outlineLevel="0" collapsed="false">
      <c r="A6" s="7" t="s">
        <v>149</v>
      </c>
      <c r="B6" s="7" t="s">
        <v>233</v>
      </c>
      <c r="C6" s="10" t="s">
        <v>84</v>
      </c>
    </row>
    <row r="7" customFormat="false" ht="15" hidden="false" customHeight="false" outlineLevel="0" collapsed="false">
      <c r="A7" s="7" t="s">
        <v>149</v>
      </c>
      <c r="B7" s="7" t="s">
        <v>234</v>
      </c>
      <c r="C7" s="10" t="s">
        <v>84</v>
      </c>
    </row>
    <row r="8" customFormat="false" ht="15" hidden="false" customHeight="false" outlineLevel="0" collapsed="false">
      <c r="A8" s="7" t="s">
        <v>149</v>
      </c>
      <c r="B8" s="7" t="s">
        <v>235</v>
      </c>
      <c r="C8" s="10" t="s">
        <v>84</v>
      </c>
    </row>
    <row r="9" customFormat="false" ht="15" hidden="false" customHeight="false" outlineLevel="0" collapsed="false">
      <c r="A9" s="7" t="s">
        <v>149</v>
      </c>
      <c r="B9" s="7" t="s">
        <v>236</v>
      </c>
      <c r="C9" s="10" t="s">
        <v>84</v>
      </c>
    </row>
    <row r="10" customFormat="false" ht="15" hidden="false" customHeight="false" outlineLevel="0" collapsed="false">
      <c r="A10" s="7" t="s">
        <v>149</v>
      </c>
      <c r="B10" s="7" t="s">
        <v>237</v>
      </c>
      <c r="C10" s="10" t="s">
        <v>84</v>
      </c>
    </row>
    <row r="11" customFormat="false" ht="15" hidden="false" customHeight="false" outlineLevel="0" collapsed="false">
      <c r="A11" s="7" t="s">
        <v>149</v>
      </c>
      <c r="B11" s="7" t="s">
        <v>238</v>
      </c>
      <c r="C11" s="10" t="s">
        <v>84</v>
      </c>
    </row>
    <row r="12" customFormat="false" ht="15" hidden="false" customHeight="false" outlineLevel="0" collapsed="false">
      <c r="A12" s="7" t="s">
        <v>149</v>
      </c>
      <c r="B12" s="7" t="s">
        <v>239</v>
      </c>
      <c r="C12" s="10" t="s">
        <v>84</v>
      </c>
    </row>
    <row r="13" customFormat="false" ht="15" hidden="false" customHeight="false" outlineLevel="0" collapsed="false">
      <c r="A13" s="7" t="s">
        <v>149</v>
      </c>
      <c r="B13" s="7" t="s">
        <v>240</v>
      </c>
      <c r="C13" s="10" t="s">
        <v>84</v>
      </c>
    </row>
    <row r="14" customFormat="false" ht="15" hidden="false" customHeight="false" outlineLevel="0" collapsed="false">
      <c r="A14" s="7" t="s">
        <v>149</v>
      </c>
      <c r="B14" s="7" t="s">
        <v>241</v>
      </c>
      <c r="C14" s="10" t="s">
        <v>84</v>
      </c>
    </row>
    <row r="15" customFormat="false" ht="15" hidden="false" customHeight="false" outlineLevel="0" collapsed="false">
      <c r="A15" s="7" t="s">
        <v>149</v>
      </c>
      <c r="B15" s="7" t="s">
        <v>242</v>
      </c>
      <c r="C15" s="10" t="s">
        <v>84</v>
      </c>
    </row>
    <row r="16" customFormat="false" ht="15" hidden="false" customHeight="false" outlineLevel="0" collapsed="false">
      <c r="A16" s="7" t="s">
        <v>149</v>
      </c>
      <c r="B16" s="7" t="s">
        <v>243</v>
      </c>
      <c r="C16" s="10" t="s">
        <v>84</v>
      </c>
    </row>
    <row r="17" customFormat="false" ht="15" hidden="false" customHeight="false" outlineLevel="0" collapsed="false">
      <c r="A17" s="7" t="s">
        <v>149</v>
      </c>
      <c r="B17" s="7" t="s">
        <v>244</v>
      </c>
      <c r="C17" s="10" t="s">
        <v>84</v>
      </c>
    </row>
    <row r="18" customFormat="false" ht="15" hidden="false" customHeight="false" outlineLevel="0" collapsed="false">
      <c r="A18" s="7" t="s">
        <v>149</v>
      </c>
      <c r="B18" s="7" t="s">
        <v>245</v>
      </c>
      <c r="C18" s="10" t="s">
        <v>84</v>
      </c>
    </row>
    <row r="19" customFormat="false" ht="15" hidden="false" customHeight="false" outlineLevel="0" collapsed="false">
      <c r="A19" s="7" t="s">
        <v>149</v>
      </c>
      <c r="B19" s="7" t="s">
        <v>246</v>
      </c>
      <c r="C19" s="10" t="s">
        <v>84</v>
      </c>
    </row>
    <row r="20" customFormat="false" ht="15" hidden="false" customHeight="false" outlineLevel="0" collapsed="false">
      <c r="A20" s="7" t="s">
        <v>149</v>
      </c>
      <c r="B20" s="7" t="s">
        <v>247</v>
      </c>
      <c r="C20" s="10" t="s">
        <v>84</v>
      </c>
    </row>
    <row r="21" customFormat="false" ht="15" hidden="false" customHeight="false" outlineLevel="0" collapsed="false">
      <c r="A21" s="7" t="s">
        <v>149</v>
      </c>
      <c r="B21" s="7" t="s">
        <v>248</v>
      </c>
      <c r="C21" s="10" t="s">
        <v>84</v>
      </c>
    </row>
    <row r="22" customFormat="false" ht="15" hidden="false" customHeight="false" outlineLevel="0" collapsed="false">
      <c r="A22" s="7" t="s">
        <v>149</v>
      </c>
      <c r="B22" s="7" t="s">
        <v>249</v>
      </c>
      <c r="C22" s="10" t="s">
        <v>84</v>
      </c>
    </row>
    <row r="23" customFormat="false" ht="15" hidden="false" customHeight="false" outlineLevel="0" collapsed="false">
      <c r="A23" s="7" t="s">
        <v>152</v>
      </c>
      <c r="B23" s="7" t="s">
        <v>250</v>
      </c>
      <c r="C23" s="10" t="s">
        <v>84</v>
      </c>
    </row>
    <row r="24" customFormat="false" ht="15" hidden="false" customHeight="false" outlineLevel="0" collapsed="false">
      <c r="A24" s="7" t="s">
        <v>152</v>
      </c>
      <c r="B24" s="7" t="s">
        <v>229</v>
      </c>
      <c r="C24" s="10" t="s">
        <v>84</v>
      </c>
    </row>
    <row r="25" customFormat="false" ht="15" hidden="false" customHeight="false" outlineLevel="0" collapsed="false">
      <c r="A25" s="7" t="s">
        <v>152</v>
      </c>
      <c r="B25" s="7" t="s">
        <v>251</v>
      </c>
      <c r="C25" s="10" t="s">
        <v>84</v>
      </c>
    </row>
    <row r="26" customFormat="false" ht="15" hidden="false" customHeight="false" outlineLevel="0" collapsed="false">
      <c r="A26" s="7" t="s">
        <v>152</v>
      </c>
      <c r="B26" s="7" t="s">
        <v>252</v>
      </c>
      <c r="C26" s="10" t="s">
        <v>84</v>
      </c>
    </row>
    <row r="27" customFormat="false" ht="15" hidden="false" customHeight="false" outlineLevel="0" collapsed="false">
      <c r="A27" s="7" t="s">
        <v>152</v>
      </c>
      <c r="B27" s="7" t="s">
        <v>253</v>
      </c>
      <c r="C27" s="10" t="s">
        <v>84</v>
      </c>
    </row>
    <row r="28" customFormat="false" ht="15" hidden="false" customHeight="false" outlineLevel="0" collapsed="false">
      <c r="A28" s="7" t="s">
        <v>152</v>
      </c>
      <c r="B28" s="7" t="s">
        <v>254</v>
      </c>
      <c r="C28" s="10" t="s">
        <v>84</v>
      </c>
    </row>
    <row r="29" customFormat="false" ht="15" hidden="false" customHeight="false" outlineLevel="0" collapsed="false">
      <c r="A29" s="7" t="s">
        <v>152</v>
      </c>
      <c r="B29" s="7" t="s">
        <v>255</v>
      </c>
      <c r="C29" s="10" t="s">
        <v>84</v>
      </c>
    </row>
    <row r="30" customFormat="false" ht="15" hidden="false" customHeight="false" outlineLevel="0" collapsed="false">
      <c r="A30" s="7" t="s">
        <v>154</v>
      </c>
      <c r="B30" s="7" t="s">
        <v>256</v>
      </c>
      <c r="C30" s="10" t="s">
        <v>84</v>
      </c>
    </row>
    <row r="31" customFormat="false" ht="15" hidden="false" customHeight="false" outlineLevel="0" collapsed="false">
      <c r="A31" s="7" t="s">
        <v>154</v>
      </c>
      <c r="B31" s="7" t="s">
        <v>257</v>
      </c>
      <c r="C31" s="11" t="s">
        <v>83</v>
      </c>
    </row>
    <row r="32" customFormat="false" ht="15" hidden="false" customHeight="false" outlineLevel="0" collapsed="false">
      <c r="A32" s="7" t="s">
        <v>154</v>
      </c>
      <c r="B32" s="7" t="s">
        <v>258</v>
      </c>
      <c r="C32" s="11" t="s">
        <v>83</v>
      </c>
    </row>
    <row r="33" customFormat="false" ht="15" hidden="false" customHeight="false" outlineLevel="0" collapsed="false">
      <c r="A33" s="7" t="s">
        <v>154</v>
      </c>
      <c r="B33" s="7" t="s">
        <v>259</v>
      </c>
      <c r="C33" s="11" t="s">
        <v>83</v>
      </c>
    </row>
    <row r="34" customFormat="false" ht="15" hidden="false" customHeight="false" outlineLevel="0" collapsed="false">
      <c r="A34" s="7" t="s">
        <v>154</v>
      </c>
      <c r="B34" s="7" t="s">
        <v>260</v>
      </c>
      <c r="C34" s="10" t="s">
        <v>84</v>
      </c>
    </row>
    <row r="35" customFormat="false" ht="15" hidden="false" customHeight="false" outlineLevel="0" collapsed="false">
      <c r="A35" s="7" t="s">
        <v>154</v>
      </c>
      <c r="B35" s="7" t="s">
        <v>261</v>
      </c>
      <c r="C35" s="10" t="s">
        <v>84</v>
      </c>
    </row>
    <row r="36" customFormat="false" ht="15" hidden="false" customHeight="false" outlineLevel="0" collapsed="false">
      <c r="A36" s="7" t="s">
        <v>154</v>
      </c>
      <c r="B36" s="7" t="s">
        <v>262</v>
      </c>
      <c r="C36" s="10" t="s">
        <v>84</v>
      </c>
    </row>
    <row r="37" customFormat="false" ht="15" hidden="false" customHeight="false" outlineLevel="0" collapsed="false">
      <c r="A37" s="7" t="s">
        <v>154</v>
      </c>
      <c r="B37" s="7" t="s">
        <v>263</v>
      </c>
      <c r="C37" s="10" t="s">
        <v>84</v>
      </c>
    </row>
    <row r="38" customFormat="false" ht="15" hidden="false" customHeight="false" outlineLevel="0" collapsed="false">
      <c r="A38" s="7" t="s">
        <v>156</v>
      </c>
      <c r="B38" s="7" t="s">
        <v>264</v>
      </c>
      <c r="C38" s="10" t="s">
        <v>84</v>
      </c>
    </row>
    <row r="39" customFormat="false" ht="15" hidden="false" customHeight="false" outlineLevel="0" collapsed="false">
      <c r="A39" s="7" t="s">
        <v>156</v>
      </c>
      <c r="B39" s="7" t="s">
        <v>256</v>
      </c>
      <c r="C39" s="10" t="s">
        <v>84</v>
      </c>
    </row>
    <row r="40" customFormat="false" ht="15" hidden="false" customHeight="false" outlineLevel="0" collapsed="false">
      <c r="A40" s="7" t="s">
        <v>156</v>
      </c>
      <c r="B40" s="7" t="s">
        <v>229</v>
      </c>
      <c r="C40" s="10" t="s">
        <v>84</v>
      </c>
    </row>
    <row r="41" customFormat="false" ht="15" hidden="false" customHeight="false" outlineLevel="0" collapsed="false">
      <c r="A41" s="7" t="s">
        <v>156</v>
      </c>
      <c r="B41" s="7" t="s">
        <v>265</v>
      </c>
      <c r="C41" s="10" t="s">
        <v>84</v>
      </c>
    </row>
    <row r="42" customFormat="false" ht="15" hidden="false" customHeight="false" outlineLevel="0" collapsed="false">
      <c r="A42" s="7" t="s">
        <v>156</v>
      </c>
      <c r="B42" s="7" t="s">
        <v>266</v>
      </c>
      <c r="C42" s="10" t="s">
        <v>84</v>
      </c>
    </row>
    <row r="43" customFormat="false" ht="15" hidden="false" customHeight="false" outlineLevel="0" collapsed="false">
      <c r="A43" s="7" t="s">
        <v>156</v>
      </c>
      <c r="B43" s="7" t="s">
        <v>267</v>
      </c>
      <c r="C43" s="10" t="s">
        <v>84</v>
      </c>
    </row>
    <row r="44" customFormat="false" ht="15" hidden="false" customHeight="false" outlineLevel="0" collapsed="false">
      <c r="A44" s="7" t="s">
        <v>156</v>
      </c>
      <c r="B44" s="7" t="s">
        <v>268</v>
      </c>
      <c r="C44" s="10" t="s">
        <v>84</v>
      </c>
    </row>
    <row r="45" customFormat="false" ht="15" hidden="false" customHeight="false" outlineLevel="0" collapsed="false">
      <c r="A45" s="7" t="s">
        <v>156</v>
      </c>
      <c r="B45" s="7" t="s">
        <v>269</v>
      </c>
      <c r="C45" s="10" t="s">
        <v>84</v>
      </c>
    </row>
    <row r="46" customFormat="false" ht="15" hidden="false" customHeight="false" outlineLevel="0" collapsed="false">
      <c r="A46" s="7" t="s">
        <v>156</v>
      </c>
      <c r="B46" s="7" t="s">
        <v>270</v>
      </c>
      <c r="C46" s="10" t="s">
        <v>84</v>
      </c>
    </row>
    <row r="47" customFormat="false" ht="15" hidden="false" customHeight="false" outlineLevel="0" collapsed="false">
      <c r="A47" s="7" t="s">
        <v>156</v>
      </c>
      <c r="B47" s="7" t="s">
        <v>271</v>
      </c>
      <c r="C47" s="10" t="s">
        <v>84</v>
      </c>
    </row>
    <row r="48" customFormat="false" ht="15" hidden="false" customHeight="false" outlineLevel="0" collapsed="false">
      <c r="A48" s="7" t="s">
        <v>156</v>
      </c>
      <c r="B48" s="7" t="s">
        <v>272</v>
      </c>
      <c r="C48" s="10" t="s">
        <v>84</v>
      </c>
    </row>
    <row r="49" customFormat="false" ht="15" hidden="false" customHeight="false" outlineLevel="0" collapsed="false">
      <c r="A49" s="7" t="s">
        <v>156</v>
      </c>
      <c r="B49" s="7" t="s">
        <v>273</v>
      </c>
      <c r="C49" s="10" t="s">
        <v>84</v>
      </c>
    </row>
    <row r="50" customFormat="false" ht="15" hidden="false" customHeight="false" outlineLevel="0" collapsed="false">
      <c r="A50" s="7" t="s">
        <v>156</v>
      </c>
      <c r="B50" s="7" t="s">
        <v>274</v>
      </c>
      <c r="C50" s="10" t="s">
        <v>84</v>
      </c>
    </row>
    <row r="51" customFormat="false" ht="15" hidden="false" customHeight="false" outlineLevel="0" collapsed="false">
      <c r="A51" s="7" t="s">
        <v>156</v>
      </c>
      <c r="B51" s="7" t="s">
        <v>275</v>
      </c>
      <c r="C51" s="10" t="s">
        <v>84</v>
      </c>
    </row>
    <row r="52" customFormat="false" ht="15" hidden="false" customHeight="false" outlineLevel="0" collapsed="false">
      <c r="A52" s="7" t="s">
        <v>156</v>
      </c>
      <c r="B52" s="7" t="s">
        <v>276</v>
      </c>
      <c r="C52" s="10" t="s">
        <v>84</v>
      </c>
    </row>
    <row r="53" customFormat="false" ht="15" hidden="false" customHeight="false" outlineLevel="0" collapsed="false">
      <c r="A53" s="7" t="s">
        <v>156</v>
      </c>
      <c r="B53" s="7" t="s">
        <v>277</v>
      </c>
      <c r="C53" s="10" t="s">
        <v>84</v>
      </c>
    </row>
    <row r="54" customFormat="false" ht="15" hidden="false" customHeight="false" outlineLevel="0" collapsed="false">
      <c r="A54" s="7" t="s">
        <v>156</v>
      </c>
      <c r="B54" s="7" t="s">
        <v>278</v>
      </c>
      <c r="C54" s="10" t="s">
        <v>84</v>
      </c>
    </row>
    <row r="55" customFormat="false" ht="15" hidden="false" customHeight="false" outlineLevel="0" collapsed="false">
      <c r="A55" s="7" t="s">
        <v>157</v>
      </c>
      <c r="B55" s="7" t="s">
        <v>272</v>
      </c>
      <c r="C55" s="10" t="s">
        <v>84</v>
      </c>
    </row>
    <row r="56" customFormat="false" ht="15" hidden="false" customHeight="false" outlineLevel="0" collapsed="false">
      <c r="A56" s="7" t="s">
        <v>157</v>
      </c>
      <c r="B56" s="7" t="s">
        <v>229</v>
      </c>
      <c r="C56" s="10" t="s">
        <v>84</v>
      </c>
    </row>
    <row r="57" customFormat="false" ht="15" hidden="false" customHeight="false" outlineLevel="0" collapsed="false">
      <c r="A57" s="7" t="s">
        <v>157</v>
      </c>
      <c r="B57" s="7" t="s">
        <v>264</v>
      </c>
      <c r="C57" s="10" t="s">
        <v>84</v>
      </c>
    </row>
    <row r="58" customFormat="false" ht="15" hidden="false" customHeight="false" outlineLevel="0" collapsed="false">
      <c r="A58" s="7" t="s">
        <v>157</v>
      </c>
      <c r="B58" s="7" t="s">
        <v>279</v>
      </c>
      <c r="C58" s="10" t="s">
        <v>84</v>
      </c>
    </row>
    <row r="59" customFormat="false" ht="15" hidden="false" customHeight="false" outlineLevel="0" collapsed="false">
      <c r="A59" s="7" t="s">
        <v>157</v>
      </c>
      <c r="B59" s="7" t="s">
        <v>273</v>
      </c>
      <c r="C59" s="10" t="s">
        <v>84</v>
      </c>
    </row>
    <row r="60" customFormat="false" ht="15" hidden="false" customHeight="false" outlineLevel="0" collapsed="false">
      <c r="A60" s="7" t="s">
        <v>157</v>
      </c>
      <c r="B60" s="7" t="s">
        <v>274</v>
      </c>
      <c r="C60" s="10" t="s">
        <v>84</v>
      </c>
    </row>
    <row r="61" customFormat="false" ht="15" hidden="false" customHeight="false" outlineLevel="0" collapsed="false">
      <c r="A61" s="7" t="s">
        <v>157</v>
      </c>
      <c r="B61" s="7" t="s">
        <v>280</v>
      </c>
      <c r="C61" s="10" t="s">
        <v>84</v>
      </c>
    </row>
    <row r="62" customFormat="false" ht="15" hidden="false" customHeight="false" outlineLevel="0" collapsed="false">
      <c r="A62" s="7" t="s">
        <v>157</v>
      </c>
      <c r="B62" s="7" t="s">
        <v>281</v>
      </c>
      <c r="C62" s="10" t="s">
        <v>84</v>
      </c>
    </row>
    <row r="63" customFormat="false" ht="15" hidden="false" customHeight="false" outlineLevel="0" collapsed="false">
      <c r="A63" s="7" t="s">
        <v>157</v>
      </c>
      <c r="B63" s="7" t="s">
        <v>263</v>
      </c>
      <c r="C63" s="10" t="s">
        <v>84</v>
      </c>
    </row>
    <row r="64" customFormat="false" ht="15" hidden="false" customHeight="false" outlineLevel="0" collapsed="false">
      <c r="A64" s="7" t="s">
        <v>157</v>
      </c>
      <c r="B64" s="7" t="s">
        <v>282</v>
      </c>
      <c r="C64" s="10" t="s">
        <v>84</v>
      </c>
    </row>
    <row r="65" customFormat="false" ht="15" hidden="false" customHeight="false" outlineLevel="0" collapsed="false">
      <c r="A65" s="7" t="s">
        <v>157</v>
      </c>
      <c r="B65" s="7" t="s">
        <v>283</v>
      </c>
      <c r="C65" s="10" t="s">
        <v>84</v>
      </c>
    </row>
    <row r="66" customFormat="false" ht="15" hidden="false" customHeight="false" outlineLevel="0" collapsed="false">
      <c r="A66" s="7" t="s">
        <v>157</v>
      </c>
      <c r="B66" s="7" t="s">
        <v>284</v>
      </c>
      <c r="C66" s="10" t="s">
        <v>84</v>
      </c>
    </row>
    <row r="67" customFormat="false" ht="15" hidden="false" customHeight="false" outlineLevel="0" collapsed="false">
      <c r="A67" s="7" t="s">
        <v>157</v>
      </c>
      <c r="B67" s="7" t="s">
        <v>285</v>
      </c>
      <c r="C67" s="10" t="s">
        <v>84</v>
      </c>
    </row>
    <row r="68" customFormat="false" ht="15" hidden="false" customHeight="false" outlineLevel="0" collapsed="false">
      <c r="A68" s="7" t="s">
        <v>157</v>
      </c>
      <c r="B68" s="7" t="s">
        <v>286</v>
      </c>
      <c r="C68" s="10" t="s">
        <v>84</v>
      </c>
    </row>
    <row r="69" customFormat="false" ht="15" hidden="false" customHeight="false" outlineLevel="0" collapsed="false">
      <c r="A69" s="7" t="s">
        <v>159</v>
      </c>
      <c r="B69" s="7" t="s">
        <v>287</v>
      </c>
      <c r="C69" s="10" t="s">
        <v>84</v>
      </c>
    </row>
    <row r="70" customFormat="false" ht="15" hidden="false" customHeight="false" outlineLevel="0" collapsed="false">
      <c r="A70" s="7" t="s">
        <v>159</v>
      </c>
      <c r="B70" s="7" t="s">
        <v>288</v>
      </c>
      <c r="C70" s="10" t="s">
        <v>84</v>
      </c>
    </row>
    <row r="71" customFormat="false" ht="15" hidden="false" customHeight="false" outlineLevel="0" collapsed="false">
      <c r="A71" s="7" t="s">
        <v>159</v>
      </c>
      <c r="B71" s="7" t="s">
        <v>229</v>
      </c>
      <c r="C71" s="10" t="s">
        <v>84</v>
      </c>
    </row>
    <row r="72" customFormat="false" ht="15" hidden="false" customHeight="false" outlineLevel="0" collapsed="false">
      <c r="A72" s="7" t="s">
        <v>159</v>
      </c>
      <c r="B72" s="7" t="s">
        <v>263</v>
      </c>
      <c r="C72" s="10" t="s">
        <v>84</v>
      </c>
    </row>
    <row r="73" customFormat="false" ht="15" hidden="false" customHeight="false" outlineLevel="0" collapsed="false">
      <c r="A73" s="7" t="s">
        <v>159</v>
      </c>
      <c r="B73" s="7" t="s">
        <v>268</v>
      </c>
      <c r="C73" s="10" t="s">
        <v>84</v>
      </c>
    </row>
    <row r="74" customFormat="false" ht="15" hidden="false" customHeight="false" outlineLevel="0" collapsed="false">
      <c r="A74" s="7" t="s">
        <v>159</v>
      </c>
      <c r="B74" s="7" t="s">
        <v>289</v>
      </c>
      <c r="C74" s="10" t="s">
        <v>84</v>
      </c>
    </row>
    <row r="75" customFormat="false" ht="15" hidden="false" customHeight="false" outlineLevel="0" collapsed="false">
      <c r="A75" s="7" t="s">
        <v>159</v>
      </c>
      <c r="B75" s="7" t="s">
        <v>290</v>
      </c>
      <c r="C75" s="10" t="s">
        <v>84</v>
      </c>
    </row>
    <row r="76" customFormat="false" ht="15" hidden="false" customHeight="false" outlineLevel="0" collapsed="false">
      <c r="A76" s="7" t="s">
        <v>159</v>
      </c>
      <c r="B76" s="7" t="s">
        <v>291</v>
      </c>
      <c r="C76" s="12" t="s">
        <v>85</v>
      </c>
    </row>
    <row r="77" customFormat="false" ht="15" hidden="false" customHeight="false" outlineLevel="0" collapsed="false">
      <c r="A77" s="7" t="s">
        <v>159</v>
      </c>
      <c r="B77" s="7" t="s">
        <v>292</v>
      </c>
      <c r="C77" s="10" t="s">
        <v>84</v>
      </c>
    </row>
    <row r="78" customFormat="false" ht="15" hidden="false" customHeight="false" outlineLevel="0" collapsed="false">
      <c r="A78" s="7" t="s">
        <v>159</v>
      </c>
      <c r="B78" s="7" t="s">
        <v>269</v>
      </c>
      <c r="C78" s="10" t="s">
        <v>84</v>
      </c>
    </row>
    <row r="79" customFormat="false" ht="15" hidden="false" customHeight="false" outlineLevel="0" collapsed="false">
      <c r="A79" s="7" t="s">
        <v>159</v>
      </c>
      <c r="B79" s="7" t="s">
        <v>279</v>
      </c>
      <c r="C79" s="10" t="s">
        <v>84</v>
      </c>
    </row>
    <row r="80" customFormat="false" ht="15" hidden="false" customHeight="false" outlineLevel="0" collapsed="false">
      <c r="A80" s="7" t="s">
        <v>159</v>
      </c>
      <c r="B80" s="7" t="s">
        <v>293</v>
      </c>
      <c r="C80" s="10" t="s">
        <v>84</v>
      </c>
    </row>
    <row r="81" customFormat="false" ht="15" hidden="false" customHeight="false" outlineLevel="0" collapsed="false">
      <c r="A81" s="7" t="s">
        <v>159</v>
      </c>
      <c r="B81" s="7" t="s">
        <v>294</v>
      </c>
      <c r="C81" s="10" t="s">
        <v>84</v>
      </c>
    </row>
    <row r="82" customFormat="false" ht="15" hidden="false" customHeight="false" outlineLevel="0" collapsed="false">
      <c r="A82" s="7" t="s">
        <v>159</v>
      </c>
      <c r="B82" s="7" t="s">
        <v>295</v>
      </c>
      <c r="C82" s="10" t="s">
        <v>84</v>
      </c>
    </row>
    <row r="83" customFormat="false" ht="15" hidden="false" customHeight="false" outlineLevel="0" collapsed="false">
      <c r="A83" s="7" t="s">
        <v>159</v>
      </c>
      <c r="B83" s="7" t="s">
        <v>296</v>
      </c>
      <c r="C83" s="12" t="s">
        <v>85</v>
      </c>
    </row>
    <row r="84" customFormat="false" ht="15" hidden="false" customHeight="false" outlineLevel="0" collapsed="false">
      <c r="A84" s="7" t="s">
        <v>161</v>
      </c>
      <c r="B84" s="7" t="s">
        <v>297</v>
      </c>
      <c r="C84" s="10" t="s">
        <v>84</v>
      </c>
    </row>
    <row r="85" customFormat="false" ht="15" hidden="false" customHeight="false" outlineLevel="0" collapsed="false">
      <c r="A85" s="7" t="s">
        <v>161</v>
      </c>
      <c r="B85" s="7" t="s">
        <v>229</v>
      </c>
      <c r="C85" s="10" t="s">
        <v>84</v>
      </c>
    </row>
    <row r="86" customFormat="false" ht="15" hidden="false" customHeight="false" outlineLevel="0" collapsed="false">
      <c r="A86" s="7" t="s">
        <v>161</v>
      </c>
      <c r="B86" s="7" t="s">
        <v>298</v>
      </c>
      <c r="C86" s="12" t="s">
        <v>85</v>
      </c>
    </row>
    <row r="87" customFormat="false" ht="15" hidden="false" customHeight="false" outlineLevel="0" collapsed="false">
      <c r="A87" s="7" t="s">
        <v>161</v>
      </c>
      <c r="B87" s="7" t="s">
        <v>299</v>
      </c>
      <c r="C87" s="10" t="s">
        <v>84</v>
      </c>
    </row>
    <row r="88" customFormat="false" ht="15" hidden="false" customHeight="false" outlineLevel="0" collapsed="false">
      <c r="A88" s="7" t="s">
        <v>161</v>
      </c>
      <c r="B88" s="7" t="s">
        <v>300</v>
      </c>
      <c r="C88" s="12" t="s">
        <v>85</v>
      </c>
    </row>
    <row r="89" customFormat="false" ht="15" hidden="false" customHeight="false" outlineLevel="0" collapsed="false">
      <c r="A89" s="7" t="s">
        <v>161</v>
      </c>
      <c r="B89" s="7" t="s">
        <v>301</v>
      </c>
      <c r="C89" s="10" t="s">
        <v>84</v>
      </c>
    </row>
    <row r="90" customFormat="false" ht="15" hidden="false" customHeight="false" outlineLevel="0" collapsed="false">
      <c r="A90" s="7" t="s">
        <v>161</v>
      </c>
      <c r="B90" s="7" t="s">
        <v>302</v>
      </c>
      <c r="C90" s="10" t="s">
        <v>84</v>
      </c>
    </row>
    <row r="91" customFormat="false" ht="15" hidden="false" customHeight="false" outlineLevel="0" collapsed="false">
      <c r="A91" s="7" t="s">
        <v>161</v>
      </c>
      <c r="B91" s="7" t="s">
        <v>303</v>
      </c>
      <c r="C91" s="10" t="s">
        <v>84</v>
      </c>
    </row>
    <row r="92" customFormat="false" ht="15" hidden="false" customHeight="false" outlineLevel="0" collapsed="false">
      <c r="A92" s="7" t="s">
        <v>161</v>
      </c>
      <c r="B92" s="7" t="s">
        <v>269</v>
      </c>
      <c r="C92" s="10" t="s">
        <v>84</v>
      </c>
    </row>
    <row r="93" customFormat="false" ht="15" hidden="false" customHeight="false" outlineLevel="0" collapsed="false">
      <c r="A93" s="7" t="s">
        <v>161</v>
      </c>
      <c r="B93" s="7" t="s">
        <v>286</v>
      </c>
      <c r="C93" s="10" t="s">
        <v>84</v>
      </c>
    </row>
    <row r="94" customFormat="false" ht="15" hidden="false" customHeight="false" outlineLevel="0" collapsed="false">
      <c r="A94" s="7" t="s">
        <v>161</v>
      </c>
      <c r="B94" s="7" t="s">
        <v>304</v>
      </c>
      <c r="C94" s="12" t="s">
        <v>85</v>
      </c>
    </row>
    <row r="95" customFormat="false" ht="15" hidden="false" customHeight="false" outlineLevel="0" collapsed="false">
      <c r="A95" s="7" t="s">
        <v>161</v>
      </c>
      <c r="B95" s="7" t="s">
        <v>285</v>
      </c>
      <c r="C95" s="10" t="s">
        <v>84</v>
      </c>
    </row>
    <row r="96" customFormat="false" ht="15" hidden="false" customHeight="false" outlineLevel="0" collapsed="false">
      <c r="A96" s="7" t="s">
        <v>161</v>
      </c>
      <c r="B96" s="7" t="s">
        <v>305</v>
      </c>
      <c r="C96" s="10" t="s">
        <v>84</v>
      </c>
    </row>
    <row r="97" customFormat="false" ht="15" hidden="false" customHeight="false" outlineLevel="0" collapsed="false">
      <c r="A97" s="7" t="s">
        <v>161</v>
      </c>
      <c r="B97" s="7" t="s">
        <v>306</v>
      </c>
      <c r="C97" s="12" t="s">
        <v>85</v>
      </c>
    </row>
    <row r="98" customFormat="false" ht="15" hidden="false" customHeight="false" outlineLevel="0" collapsed="false">
      <c r="A98" s="7" t="s">
        <v>161</v>
      </c>
      <c r="B98" s="7" t="s">
        <v>283</v>
      </c>
      <c r="C98" s="10" t="s">
        <v>84</v>
      </c>
    </row>
    <row r="99" customFormat="false" ht="15" hidden="false" customHeight="false" outlineLevel="0" collapsed="false">
      <c r="A99" s="7" t="s">
        <v>163</v>
      </c>
      <c r="B99" s="7" t="s">
        <v>307</v>
      </c>
      <c r="C99" s="10" t="s">
        <v>84</v>
      </c>
    </row>
    <row r="100" customFormat="false" ht="15" hidden="false" customHeight="false" outlineLevel="0" collapsed="false">
      <c r="A100" s="7" t="s">
        <v>163</v>
      </c>
      <c r="B100" s="7" t="s">
        <v>308</v>
      </c>
      <c r="C100" s="10" t="s">
        <v>84</v>
      </c>
    </row>
    <row r="101" customFormat="false" ht="15" hidden="false" customHeight="false" outlineLevel="0" collapsed="false">
      <c r="A101" s="7" t="s">
        <v>163</v>
      </c>
      <c r="B101" s="7" t="s">
        <v>309</v>
      </c>
      <c r="C101" s="10" t="s">
        <v>84</v>
      </c>
    </row>
    <row r="102" customFormat="false" ht="15" hidden="false" customHeight="false" outlineLevel="0" collapsed="false">
      <c r="A102" s="7" t="s">
        <v>163</v>
      </c>
      <c r="B102" s="7" t="s">
        <v>310</v>
      </c>
      <c r="C102" s="10" t="s">
        <v>84</v>
      </c>
    </row>
    <row r="103" customFormat="false" ht="15" hidden="false" customHeight="false" outlineLevel="0" collapsed="false">
      <c r="A103" s="7" t="s">
        <v>163</v>
      </c>
      <c r="B103" s="7" t="s">
        <v>263</v>
      </c>
      <c r="C103" s="10" t="s">
        <v>84</v>
      </c>
    </row>
    <row r="104" customFormat="false" ht="15" hidden="false" customHeight="false" outlineLevel="0" collapsed="false">
      <c r="A104" s="7" t="s">
        <v>163</v>
      </c>
      <c r="B104" s="7" t="s">
        <v>230</v>
      </c>
      <c r="C104" s="10" t="s">
        <v>84</v>
      </c>
    </row>
    <row r="105" customFormat="false" ht="15" hidden="false" customHeight="false" outlineLevel="0" collapsed="false">
      <c r="A105" s="7" t="s">
        <v>163</v>
      </c>
      <c r="B105" s="7" t="s">
        <v>311</v>
      </c>
      <c r="C105" s="10" t="s">
        <v>84</v>
      </c>
    </row>
    <row r="106" customFormat="false" ht="15" hidden="false" customHeight="false" outlineLevel="0" collapsed="false">
      <c r="A106" s="7" t="s">
        <v>163</v>
      </c>
      <c r="B106" s="7" t="s">
        <v>312</v>
      </c>
      <c r="C106" s="10" t="s">
        <v>84</v>
      </c>
    </row>
    <row r="107" customFormat="false" ht="15" hidden="false" customHeight="false" outlineLevel="0" collapsed="false">
      <c r="A107" s="7" t="s">
        <v>163</v>
      </c>
      <c r="B107" s="7" t="s">
        <v>269</v>
      </c>
      <c r="C107" s="10" t="s">
        <v>84</v>
      </c>
    </row>
    <row r="108" customFormat="false" ht="15" hidden="false" customHeight="false" outlineLevel="0" collapsed="false">
      <c r="A108" s="7" t="s">
        <v>163</v>
      </c>
      <c r="B108" s="7" t="s">
        <v>313</v>
      </c>
      <c r="C108" s="10" t="s">
        <v>84</v>
      </c>
    </row>
    <row r="109" customFormat="false" ht="15" hidden="false" customHeight="false" outlineLevel="0" collapsed="false">
      <c r="A109" s="7" t="s">
        <v>163</v>
      </c>
      <c r="B109" s="7" t="s">
        <v>314</v>
      </c>
      <c r="C109" s="10" t="s">
        <v>84</v>
      </c>
    </row>
    <row r="110" customFormat="false" ht="15" hidden="false" customHeight="false" outlineLevel="0" collapsed="false">
      <c r="A110" s="7" t="s">
        <v>163</v>
      </c>
      <c r="B110" s="7" t="s">
        <v>315</v>
      </c>
      <c r="C110" s="10" t="s">
        <v>84</v>
      </c>
    </row>
    <row r="111" customFormat="false" ht="15" hidden="false" customHeight="false" outlineLevel="0" collapsed="false">
      <c r="A111" s="7" t="s">
        <v>163</v>
      </c>
      <c r="B111" s="7" t="s">
        <v>316</v>
      </c>
      <c r="C111" s="10" t="s">
        <v>84</v>
      </c>
    </row>
    <row r="112" customFormat="false" ht="15" hidden="false" customHeight="false" outlineLevel="0" collapsed="false">
      <c r="A112" s="7" t="s">
        <v>164</v>
      </c>
      <c r="B112" s="7" t="s">
        <v>317</v>
      </c>
      <c r="C112" s="10" t="s">
        <v>84</v>
      </c>
    </row>
    <row r="113" customFormat="false" ht="15" hidden="false" customHeight="false" outlineLevel="0" collapsed="false">
      <c r="A113" s="7" t="s">
        <v>164</v>
      </c>
      <c r="B113" s="7" t="s">
        <v>318</v>
      </c>
      <c r="C113" s="10" t="s">
        <v>84</v>
      </c>
    </row>
    <row r="114" customFormat="false" ht="15" hidden="false" customHeight="false" outlineLevel="0" collapsed="false">
      <c r="A114" s="7" t="s">
        <v>164</v>
      </c>
      <c r="B114" s="7" t="s">
        <v>229</v>
      </c>
      <c r="C114" s="10" t="s">
        <v>84</v>
      </c>
    </row>
    <row r="115" customFormat="false" ht="15" hidden="false" customHeight="false" outlineLevel="0" collapsed="false">
      <c r="A115" s="7" t="s">
        <v>164</v>
      </c>
      <c r="B115" s="7" t="s">
        <v>319</v>
      </c>
      <c r="C115" s="10" t="s">
        <v>84</v>
      </c>
    </row>
    <row r="116" customFormat="false" ht="15" hidden="false" customHeight="false" outlineLevel="0" collapsed="false">
      <c r="A116" s="7" t="s">
        <v>164</v>
      </c>
      <c r="B116" s="7" t="s">
        <v>320</v>
      </c>
      <c r="C116" s="10" t="s">
        <v>84</v>
      </c>
    </row>
    <row r="117" customFormat="false" ht="15" hidden="false" customHeight="false" outlineLevel="0" collapsed="false">
      <c r="A117" s="7" t="s">
        <v>164</v>
      </c>
      <c r="B117" s="7" t="s">
        <v>321</v>
      </c>
      <c r="C117" s="10" t="s">
        <v>84</v>
      </c>
    </row>
    <row r="118" customFormat="false" ht="15" hidden="false" customHeight="false" outlineLevel="0" collapsed="false">
      <c r="A118" s="7" t="s">
        <v>164</v>
      </c>
      <c r="B118" s="7" t="s">
        <v>233</v>
      </c>
      <c r="C118" s="10" t="s">
        <v>84</v>
      </c>
    </row>
    <row r="119" customFormat="false" ht="15" hidden="false" customHeight="false" outlineLevel="0" collapsed="false">
      <c r="A119" s="7" t="s">
        <v>164</v>
      </c>
      <c r="B119" s="7" t="s">
        <v>234</v>
      </c>
      <c r="C119" s="10" t="s">
        <v>84</v>
      </c>
    </row>
    <row r="120" customFormat="false" ht="15" hidden="false" customHeight="false" outlineLevel="0" collapsed="false">
      <c r="A120" s="7" t="s">
        <v>164</v>
      </c>
      <c r="B120" s="7" t="s">
        <v>277</v>
      </c>
      <c r="C120" s="10" t="s">
        <v>84</v>
      </c>
    </row>
    <row r="121" customFormat="false" ht="15" hidden="false" customHeight="false" outlineLevel="0" collapsed="false">
      <c r="A121" s="7" t="s">
        <v>164</v>
      </c>
      <c r="B121" s="7" t="s">
        <v>322</v>
      </c>
      <c r="C121" s="10" t="s">
        <v>84</v>
      </c>
    </row>
    <row r="122" customFormat="false" ht="15" hidden="false" customHeight="false" outlineLevel="0" collapsed="false">
      <c r="A122" s="7" t="s">
        <v>164</v>
      </c>
      <c r="B122" s="7" t="s">
        <v>258</v>
      </c>
      <c r="C122" s="10" t="s">
        <v>84</v>
      </c>
    </row>
    <row r="123" customFormat="false" ht="15" hidden="false" customHeight="false" outlineLevel="0" collapsed="false">
      <c r="A123" s="7" t="s">
        <v>164</v>
      </c>
      <c r="B123" s="7" t="s">
        <v>323</v>
      </c>
      <c r="C123" s="10" t="s">
        <v>84</v>
      </c>
    </row>
    <row r="124" customFormat="false" ht="15" hidden="false" customHeight="false" outlineLevel="0" collapsed="false">
      <c r="A124" s="7" t="s">
        <v>165</v>
      </c>
      <c r="B124" s="7" t="s">
        <v>324</v>
      </c>
      <c r="C124" s="10" t="s">
        <v>84</v>
      </c>
    </row>
    <row r="125" customFormat="false" ht="15" hidden="false" customHeight="false" outlineLevel="0" collapsed="false">
      <c r="A125" s="7" t="s">
        <v>165</v>
      </c>
      <c r="B125" s="7" t="s">
        <v>229</v>
      </c>
      <c r="C125" s="10" t="s">
        <v>84</v>
      </c>
    </row>
    <row r="126" customFormat="false" ht="15" hidden="false" customHeight="false" outlineLevel="0" collapsed="false">
      <c r="A126" s="7" t="s">
        <v>165</v>
      </c>
      <c r="B126" s="7" t="s">
        <v>325</v>
      </c>
      <c r="C126" s="10" t="s">
        <v>84</v>
      </c>
    </row>
    <row r="127" customFormat="false" ht="15" hidden="false" customHeight="false" outlineLevel="0" collapsed="false">
      <c r="A127" s="7" t="s">
        <v>165</v>
      </c>
      <c r="B127" s="7" t="s">
        <v>263</v>
      </c>
      <c r="C127" s="10" t="s">
        <v>84</v>
      </c>
    </row>
    <row r="128" customFormat="false" ht="15" hidden="false" customHeight="false" outlineLevel="0" collapsed="false">
      <c r="A128" s="7" t="s">
        <v>165</v>
      </c>
      <c r="B128" s="7" t="s">
        <v>326</v>
      </c>
      <c r="C128" s="10" t="s">
        <v>84</v>
      </c>
    </row>
    <row r="129" customFormat="false" ht="15" hidden="false" customHeight="false" outlineLevel="0" collapsed="false">
      <c r="A129" s="7" t="s">
        <v>165</v>
      </c>
      <c r="B129" s="7" t="s">
        <v>327</v>
      </c>
      <c r="C129" s="1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6" t="s">
        <v>144</v>
      </c>
      <c r="B1" s="6" t="s">
        <v>83</v>
      </c>
      <c r="C1" s="6" t="s">
        <v>84</v>
      </c>
      <c r="D1" s="6" t="s">
        <v>85</v>
      </c>
    </row>
    <row r="2" customFormat="false" ht="15" hidden="false" customHeight="false" outlineLevel="0" collapsed="false">
      <c r="A2" s="7" t="s">
        <v>149</v>
      </c>
      <c r="B2" s="7" t="n">
        <f aca="false">COUNTIFS(Field_Sensitivity!A:A,A2,Field_Sensitivity!C:C,"Public")</f>
        <v>0</v>
      </c>
      <c r="C2" s="7" t="n">
        <f aca="false">COUNTIFS(Field_Sensitivity!A:A,A2,Field_Sensitivity!C:C,"Internal")</f>
        <v>21</v>
      </c>
      <c r="D2" s="7" t="n">
        <f aca="false">COUNTIFS(Field_Sensitivity!A:A,A2,Field_Sensitivity!C:C,"Restricted")</f>
        <v>0</v>
      </c>
    </row>
    <row r="3" customFormat="false" ht="15" hidden="false" customHeight="false" outlineLevel="0" collapsed="false">
      <c r="A3" s="7" t="s">
        <v>152</v>
      </c>
      <c r="B3" s="7" t="n">
        <f aca="false">COUNTIFS(Field_Sensitivity!A:A,A3,Field_Sensitivity!C:C,"Public")</f>
        <v>0</v>
      </c>
      <c r="C3" s="7" t="n">
        <f aca="false">COUNTIFS(Field_Sensitivity!A:A,A3,Field_Sensitivity!C:C,"Internal")</f>
        <v>7</v>
      </c>
      <c r="D3" s="7" t="n">
        <f aca="false">COUNTIFS(Field_Sensitivity!A:A,A3,Field_Sensitivity!C:C,"Restricted")</f>
        <v>0</v>
      </c>
    </row>
    <row r="4" customFormat="false" ht="15" hidden="false" customHeight="false" outlineLevel="0" collapsed="false">
      <c r="A4" s="7" t="s">
        <v>154</v>
      </c>
      <c r="B4" s="7" t="n">
        <f aca="false">COUNTIFS(Field_Sensitivity!A:A,A4,Field_Sensitivity!C:C,"Public")</f>
        <v>3</v>
      </c>
      <c r="C4" s="7" t="n">
        <f aca="false">COUNTIFS(Field_Sensitivity!A:A,A4,Field_Sensitivity!C:C,"Internal")</f>
        <v>5</v>
      </c>
      <c r="D4" s="7" t="n">
        <f aca="false">COUNTIFS(Field_Sensitivity!A:A,A4,Field_Sensitivity!C:C,"Restricted")</f>
        <v>0</v>
      </c>
    </row>
    <row r="5" customFormat="false" ht="15" hidden="false" customHeight="false" outlineLevel="0" collapsed="false">
      <c r="A5" s="7" t="s">
        <v>156</v>
      </c>
      <c r="B5" s="7" t="n">
        <f aca="false">COUNTIFS(Field_Sensitivity!A:A,A5,Field_Sensitivity!C:C,"Public")</f>
        <v>0</v>
      </c>
      <c r="C5" s="7" t="n">
        <f aca="false">COUNTIFS(Field_Sensitivity!A:A,A5,Field_Sensitivity!C:C,"Internal")</f>
        <v>17</v>
      </c>
      <c r="D5" s="7" t="n">
        <f aca="false">COUNTIFS(Field_Sensitivity!A:A,A5,Field_Sensitivity!C:C,"Restricted")</f>
        <v>0</v>
      </c>
    </row>
    <row r="6" customFormat="false" ht="15" hidden="false" customHeight="false" outlineLevel="0" collapsed="false">
      <c r="A6" s="7" t="s">
        <v>157</v>
      </c>
      <c r="B6" s="7" t="n">
        <f aca="false">COUNTIFS(Field_Sensitivity!A:A,A6,Field_Sensitivity!C:C,"Public")</f>
        <v>0</v>
      </c>
      <c r="C6" s="7" t="n">
        <f aca="false">COUNTIFS(Field_Sensitivity!A:A,A6,Field_Sensitivity!C:C,"Internal")</f>
        <v>14</v>
      </c>
      <c r="D6" s="7" t="n">
        <f aca="false">COUNTIFS(Field_Sensitivity!A:A,A6,Field_Sensitivity!C:C,"Restricted")</f>
        <v>0</v>
      </c>
    </row>
    <row r="7" customFormat="false" ht="15" hidden="false" customHeight="false" outlineLevel="0" collapsed="false">
      <c r="A7" s="7" t="s">
        <v>159</v>
      </c>
      <c r="B7" s="7" t="n">
        <f aca="false">COUNTIFS(Field_Sensitivity!A:A,A7,Field_Sensitivity!C:C,"Public")</f>
        <v>0</v>
      </c>
      <c r="C7" s="7" t="n">
        <f aca="false">COUNTIFS(Field_Sensitivity!A:A,A7,Field_Sensitivity!C:C,"Internal")</f>
        <v>13</v>
      </c>
      <c r="D7" s="7" t="n">
        <f aca="false">COUNTIFS(Field_Sensitivity!A:A,A7,Field_Sensitivity!C:C,"Restricted")</f>
        <v>2</v>
      </c>
    </row>
    <row r="8" customFormat="false" ht="15" hidden="false" customHeight="false" outlineLevel="0" collapsed="false">
      <c r="A8" s="7" t="s">
        <v>161</v>
      </c>
      <c r="B8" s="7" t="n">
        <f aca="false">COUNTIFS(Field_Sensitivity!A:A,A8,Field_Sensitivity!C:C,"Public")</f>
        <v>0</v>
      </c>
      <c r="C8" s="7" t="n">
        <f aca="false">COUNTIFS(Field_Sensitivity!A:A,A8,Field_Sensitivity!C:C,"Internal")</f>
        <v>11</v>
      </c>
      <c r="D8" s="7" t="n">
        <f aca="false">COUNTIFS(Field_Sensitivity!A:A,A8,Field_Sensitivity!C:C,"Restricted")</f>
        <v>4</v>
      </c>
    </row>
    <row r="9" customFormat="false" ht="15" hidden="false" customHeight="false" outlineLevel="0" collapsed="false">
      <c r="A9" s="7" t="s">
        <v>163</v>
      </c>
      <c r="B9" s="7" t="n">
        <f aca="false">COUNTIFS(Field_Sensitivity!A:A,A9,Field_Sensitivity!C:C,"Public")</f>
        <v>0</v>
      </c>
      <c r="C9" s="7" t="n">
        <f aca="false">COUNTIFS(Field_Sensitivity!A:A,A9,Field_Sensitivity!C:C,"Internal")</f>
        <v>13</v>
      </c>
      <c r="D9" s="7" t="n">
        <f aca="false">COUNTIFS(Field_Sensitivity!A:A,A9,Field_Sensitivity!C:C,"Restricted")</f>
        <v>0</v>
      </c>
    </row>
    <row r="10" customFormat="false" ht="15" hidden="false" customHeight="false" outlineLevel="0" collapsed="false">
      <c r="A10" s="7" t="s">
        <v>164</v>
      </c>
      <c r="B10" s="7" t="n">
        <f aca="false">COUNTIFS(Field_Sensitivity!A:A,A10,Field_Sensitivity!C:C,"Public")</f>
        <v>0</v>
      </c>
      <c r="C10" s="7" t="n">
        <f aca="false">COUNTIFS(Field_Sensitivity!A:A,A10,Field_Sensitivity!C:C,"Internal")</f>
        <v>12</v>
      </c>
      <c r="D10" s="7" t="n">
        <f aca="false">COUNTIFS(Field_Sensitivity!A:A,A10,Field_Sensitivity!C:C,"Restricted")</f>
        <v>0</v>
      </c>
    </row>
    <row r="11" customFormat="false" ht="15" hidden="false" customHeight="false" outlineLevel="0" collapsed="false">
      <c r="A11" s="7" t="s">
        <v>165</v>
      </c>
      <c r="B11" s="7" t="n">
        <f aca="false">COUNTIFS(Field_Sensitivity!A:A,A11,Field_Sensitivity!C:C,"Public")</f>
        <v>0</v>
      </c>
      <c r="C11" s="7" t="n">
        <f aca="false">COUNTIFS(Field_Sensitivity!A:A,A11,Field_Sensitivity!C:C,"Internal")</f>
        <v>6</v>
      </c>
      <c r="D11" s="7" t="n">
        <f aca="false">COUNTIFS(Field_Sensitivity!A:A,A11,Field_Sensitivity!C:C,"Restricted")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2026-10-11T05:38:51Z</dcterms:created>
  <dc:creator>openpyxl</dc:creator>
  <dc:description/>
  <dc:language>en-US</dc:language>
  <cp:lastModifiedBy/>
  <dcterms:modified xsi:type="dcterms:W3CDTF">2026-10-11T05:38:51Z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