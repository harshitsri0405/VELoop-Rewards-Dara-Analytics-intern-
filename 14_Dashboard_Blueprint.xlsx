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isual_Specs" sheetId="2" state="visible" r:id="rId4"/>
    <sheet name="Dashboards" sheetId="3" state="visible" r:id="rId5"/>
    <sheet name="Standards" sheetId="4" state="visible" r:id="rId6"/>
    <sheet name="KPI_Coverage" sheetId="5" state="visible" r:id="rId7"/>
  </sheets>
  <definedNames>
    <definedName function="false" hidden="true" localSheetId="1" name="_xlnm._FilterDatabase" vbProcedure="false">Visual_Specs!$A$1:$O$57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<sst xmlns="http://schemas.openxmlformats.org/spreadsheetml/2006/main" count="985" uniqueCount="596">
  <si>
    <t xml:space="preserve">VELOOP REWARDS - Task 01 | Work Package M: Analytics Dashboard Blueprint</t>
  </si>
  <si>
    <t xml:space="preserve">This is a dashboard specification, not a production dashboard. Wireframes show layout only; no data or results are shown. No simulated or real VELOOP statistics are included.</t>
  </si>
  <si>
    <t xml:space="preserve">Metric, calculation and source for every visual are taken from the KPI Catalogue (Work Package I), so the two documents agree.</t>
  </si>
  <si>
    <t xml:space="preserve">Open questions:</t>
  </si>
  <si>
    <t xml:space="preserve">- Which BI tool will be used? This blueprint is tool-neutral and works in a spreadsheet-based or open-source tool at first.</t>
  </si>
  <si>
    <t xml:space="preserve">- Which KPIs marked To Be Verified should be hidden until their definitions are confirmed?</t>
  </si>
  <si>
    <t xml:space="preserve">- Is country-level geography available at registration (A045)?</t>
  </si>
  <si>
    <t xml:space="preserve">- At what time of day should the daily refresh run, and in which timezone (A012)?</t>
  </si>
  <si>
    <t xml:space="preserve">- Who may see row-level data? (Work Package P)</t>
  </si>
  <si>
    <t xml:space="preserve">Live counts</t>
  </si>
  <si>
    <t xml:space="preserve">Dashboards</t>
  </si>
  <si>
    <t xml:space="preserve">Visuals specified</t>
  </si>
  <si>
    <t xml:space="preserve">KPIs not used on any dashboard</t>
  </si>
  <si>
    <t xml:space="preserve">Dash #</t>
  </si>
  <si>
    <t xml:space="preserve">Dashboard</t>
  </si>
  <si>
    <t xml:space="preserve">Visual ID</t>
  </si>
  <si>
    <t xml:space="preserve">Visual</t>
  </si>
  <si>
    <t xml:space="preserve">Metric</t>
  </si>
  <si>
    <t xml:space="preserve">KPI IDs</t>
  </si>
  <si>
    <t xml:space="preserve">Calculation</t>
  </si>
  <si>
    <t xml:space="preserve">Source</t>
  </si>
  <si>
    <t xml:space="preserve">Visualization</t>
  </si>
  <si>
    <t xml:space="preserve">Filters</t>
  </si>
  <si>
    <t xml:space="preserve">Dimensions</t>
  </si>
  <si>
    <t xml:space="preserve">Date range</t>
  </si>
  <si>
    <t xml:space="preserve">Refresh frequency</t>
  </si>
  <si>
    <t xml:space="preserve">Business question</t>
  </si>
  <si>
    <t xml:space="preserve">Decision supported</t>
  </si>
  <si>
    <t xml:space="preserve">Executive Overview</t>
  </si>
  <si>
    <t xml:space="preserve">1.1</t>
  </si>
  <si>
    <t xml:space="preserve">Active users</t>
  </si>
  <si>
    <t xml:space="preserve">Daily Active Users (DAU); Weekly Active Users (WAU); Monthly Active Users (MAU)</t>
  </si>
  <si>
    <t xml:space="preserve">U02, U03, U04</t>
  </si>
  <si>
    <t xml:space="preserve">Daily Active Users (DAU): COUNT(DISTINCT user_id) with a qualifying event on the date (UTC; timezone to be agreed) | Weekly Active Users (WAU): COUNT(DISTINCT user_id) with a qualifying event in the week (week definition to be agreed) | Monthly Active Users (MAU): COUNT(DISTINCT user_id) with a qualifying event in the month</t>
  </si>
  <si>
    <t xml:space="preserve">Feature_Events</t>
  </si>
  <si>
    <t xml:space="preserve">KPI tiles with trend line</t>
  </si>
  <si>
    <t xml:space="preserve">Date range, platform, country_code</t>
  </si>
  <si>
    <t xml:space="preserve">platform, country_code</t>
  </si>
  <si>
    <t xml:space="preserve">Last 30 days, selectable; previous period shown for comparison</t>
  </si>
  <si>
    <t xml:space="preserve">Daily</t>
  </si>
  <si>
    <t xml:space="preserve">How many people are actively using VELOOP?</t>
  </si>
  <si>
    <t xml:space="preserve">Whether a change in activity is large enough to open the User and Engagement dashboards</t>
  </si>
  <si>
    <t xml:space="preserve">1.2</t>
  </si>
  <si>
    <t xml:space="preserve">New registrations</t>
  </si>
  <si>
    <t xml:space="preserve">Registrations</t>
  </si>
  <si>
    <t xml:space="preserve">U01</t>
  </si>
  <si>
    <t xml:space="preserve">Registrations: COUNT(user_id) where registered_at is in the period</t>
  </si>
  <si>
    <t xml:space="preserve">Users</t>
  </si>
  <si>
    <t xml:space="preserve">Stacked line chart</t>
  </si>
  <si>
    <t xml:space="preserve">registration_source</t>
  </si>
  <si>
    <t xml:space="preserve">Is sign-up volume changing, and from which source?</t>
  </si>
  <si>
    <t xml:space="preserve">Where to look first when sign-ups move</t>
  </si>
  <si>
    <t xml:space="preserve">1.3</t>
  </si>
  <si>
    <t xml:space="preserve">Task attempts and completions</t>
  </si>
  <si>
    <t xml:space="preserve">Task Starts; Task Completions; Task Completion Rate</t>
  </si>
  <si>
    <t xml:space="preserve">E03, E04, E05</t>
  </si>
  <si>
    <t xml:space="preserve">Task Starts: COUNT(task_activity_id) with task_started in the period | Task Completions: COUNT(task_activity_id) with task_completed in the period (by completed_at) | Task Completion Rate: Validated attempts / started attempts, for attempts started in the period</t>
  </si>
  <si>
    <t xml:space="preserve">Task_Activity</t>
  </si>
  <si>
    <t xml:space="preserve">Bars (starts, completions) with rate line</t>
  </si>
  <si>
    <t xml:space="preserve">task_type</t>
  </si>
  <si>
    <t xml:space="preserve">Are attempts turning into validated completions?</t>
  </si>
  <si>
    <t xml:space="preserve">Whether to look into validation or task design</t>
  </si>
  <si>
    <t xml:space="preserve">1.4</t>
  </si>
  <si>
    <t xml:space="preserve">Rewards credited by unit</t>
  </si>
  <si>
    <t xml:space="preserve">Reward Credits; Reward Reversals</t>
  </si>
  <si>
    <t xml:space="preserve">R02, R03</t>
  </si>
  <si>
    <t xml:space="preserve">Amounts are never added across units</t>
  </si>
  <si>
    <t xml:space="preserve">Rewards</t>
  </si>
  <si>
    <t xml:space="preserve">Clustered bars, one panel per unit</t>
  </si>
  <si>
    <t xml:space="preserve">reward_unit, source_feature</t>
  </si>
  <si>
    <t xml:space="preserve">How much has been credited and reversed, per unit?</t>
  </si>
  <si>
    <t xml:space="preserve">Whether reward volume needs a closer review</t>
  </si>
  <si>
    <t xml:space="preserve">1.5</t>
  </si>
  <si>
    <t xml:space="preserve">Wallet integrity</t>
  </si>
  <si>
    <t xml:space="preserve">Wallet Reversals; Wallet Reconciliation Exceptions</t>
  </si>
  <si>
    <t xml:space="preserve">W04, T01</t>
  </si>
  <si>
    <t xml:space="preserve">Wallet Reversals: COUNT(transaction_id) where transaction_type = reversal; share = reversals / completed entries | Wallet Reconciliation Exceptions: COUNT(user_id, unit) where SUM(completed credits) - SUM(completed debits) differs from the latest balance_after</t>
  </si>
  <si>
    <t xml:space="preserve">Wallet_Transactions</t>
  </si>
  <si>
    <t xml:space="preserve">KPI tiles with status colour</t>
  </si>
  <si>
    <t xml:space="preserve">transaction_type</t>
  </si>
  <si>
    <t xml:space="preserve">Current snapshot</t>
  </si>
  <si>
    <t xml:space="preserve">Do wallet records agree and how often are entries reversed?</t>
  </si>
  <si>
    <t xml:space="preserve">Whether to escalate to Engineering before publishing wallet figures</t>
  </si>
  <si>
    <t xml:space="preserve">1.6</t>
  </si>
  <si>
    <t xml:space="preserve">Withdrawal progress</t>
  </si>
  <si>
    <t xml:space="preserve">Withdrawal Requests; Completed Withdrawals; Pending Withdrawals; Rejected Withdrawals</t>
  </si>
  <si>
    <t xml:space="preserve">D01, D02, D03, D04</t>
  </si>
  <si>
    <t xml:space="preserve">Withdrawal Requests: COUNT(withdrawal_id) where requested_at is in the period | Completed Withdrawals: COUNT(withdrawal_id) where status = completed and final_at is in the period | Pending Withdrawals: COUNT(withdrawal_id) where status is requested or processing | Rejected Withdrawals: COUNT(withdrawal_id) where status = rejected and final_at is in the period</t>
  </si>
  <si>
    <t xml:space="preserve">Withdrawals</t>
  </si>
  <si>
    <t xml:space="preserve">Stacked bars by status with tiles</t>
  </si>
  <si>
    <t xml:space="preserve">method, status</t>
  </si>
  <si>
    <t xml:space="preserve">How are withdrawal requests progressing?</t>
  </si>
  <si>
    <t xml:space="preserve">Review capacity and whether to escalate stuck requests</t>
  </si>
  <si>
    <t xml:space="preserve">1.7</t>
  </si>
  <si>
    <t xml:space="preserve">Referral funnel</t>
  </si>
  <si>
    <t xml:space="preserve">Referrals Created; Referral Registrations; Referral Activations; Referral Conversions</t>
  </si>
  <si>
    <t xml:space="preserve">F01, F02, F03, F04</t>
  </si>
  <si>
    <t xml:space="preserve">Referrals Created: COUNT(referral_id) by created_at | Referral Registrations: COUNT(referral_id) where registered_at is in the period | Referral Activations: COUNT(referral_id) where activated_at is in the period | Referral Conversions: COUNT(referral_id) where converted_at is in the period</t>
  </si>
  <si>
    <t xml:space="preserve">Referrals</t>
  </si>
  <si>
    <t xml:space="preserve">Funnel</t>
  </si>
  <si>
    <t xml:space="preserve">source_channel</t>
  </si>
  <si>
    <t xml:space="preserve">Do referrals become registered, active, converted users?</t>
  </si>
  <si>
    <t xml:space="preserve">Whether the referral rules or activation definition need review</t>
  </si>
  <si>
    <t xml:space="preserve">1.8</t>
  </si>
  <si>
    <t xml:space="preserve">Data trust strip</t>
  </si>
  <si>
    <t xml:space="preserve">Event Delivery Delay; Provider Callback Reliability</t>
  </si>
  <si>
    <t xml:space="preserve">T03, T02</t>
  </si>
  <si>
    <t xml:space="preserve">Also shows quarantined record count and unresolved-key rate from the quality framework</t>
  </si>
  <si>
    <t xml:space="preserve">Feature_Events, Task_Activity</t>
  </si>
  <si>
    <t xml:space="preserve">Status tiles plus 'data as of' banner</t>
  </si>
  <si>
    <t xml:space="preserve">table, rule_id</t>
  </si>
  <si>
    <t xml:space="preserve">Can today's numbers be trusted?</t>
  </si>
  <si>
    <t xml:space="preserve">Whether figures need a caveat</t>
  </si>
  <si>
    <t xml:space="preserve">User Analytics</t>
  </si>
  <si>
    <t xml:space="preserve">2.1</t>
  </si>
  <si>
    <t xml:space="preserve">Registrations over time</t>
  </si>
  <si>
    <t xml:space="preserve">Line chart</t>
  </si>
  <si>
    <t xml:space="preserve">Date range, platform, registration_source, country_code, campaign_id</t>
  </si>
  <si>
    <t xml:space="preserve">registration_source, platform</t>
  </si>
  <si>
    <t xml:space="preserve">How is sign-up volume changing?</t>
  </si>
  <si>
    <t xml:space="preserve">Timing of acquisition activity</t>
  </si>
  <si>
    <t xml:space="preserve">2.2</t>
  </si>
  <si>
    <t xml:space="preserve">Acquisition source</t>
  </si>
  <si>
    <t xml:space="preserve">Horizontal bar (share)</t>
  </si>
  <si>
    <t xml:space="preserve">registration_source, campaign_id</t>
  </si>
  <si>
    <t xml:space="preserve">Which channels bring users?</t>
  </si>
  <si>
    <t xml:space="preserve">Where acquisition effort is reviewed</t>
  </si>
  <si>
    <t xml:space="preserve">2.3</t>
  </si>
  <si>
    <t xml:space="preserve">Active users trend</t>
  </si>
  <si>
    <t xml:space="preserve">platform</t>
  </si>
  <si>
    <t xml:space="preserve">Is the active base growing, flat or falling?</t>
  </si>
  <si>
    <t xml:space="preserve">Whether to investigate engagement</t>
  </si>
  <si>
    <t xml:space="preserve">2.4</t>
  </si>
  <si>
    <t xml:space="preserve">Returning vs active</t>
  </si>
  <si>
    <t xml:space="preserve">Returning Users; Daily Active Users (DAU)</t>
  </si>
  <si>
    <t xml:space="preserve">U05, U02</t>
  </si>
  <si>
    <t xml:space="preserve">Returning share = Returning Users / active users in the same period</t>
  </si>
  <si>
    <t xml:space="preserve">Feature_Events, Users</t>
  </si>
  <si>
    <t xml:space="preserve">Stacked bar</t>
  </si>
  <si>
    <t xml:space="preserve">How much activity comes from returning users?</t>
  </si>
  <si>
    <t xml:space="preserve">Whether to focus on retention or new users</t>
  </si>
  <si>
    <t xml:space="preserve">2.5</t>
  </si>
  <si>
    <t xml:space="preserve">Platform split</t>
  </si>
  <si>
    <t xml:space="preserve">Registrations; Daily Active Users (DAU)</t>
  </si>
  <si>
    <t xml:space="preserve">U01, U02</t>
  </si>
  <si>
    <t xml:space="preserve">Registrations: COUNT(user_id) where registered_at is in the period | Daily Active Users (DAU): COUNT(DISTINCT user_id) with a qualifying event on the date (UTC; timezone to be agreed)</t>
  </si>
  <si>
    <t xml:space="preserve">Grouped bar</t>
  </si>
  <si>
    <t xml:space="preserve">Do platforms differ in sign-ups and activity?</t>
  </si>
  <si>
    <t xml:space="preserve">Whether a platform needs attention</t>
  </si>
  <si>
    <t xml:space="preserve">2.6</t>
  </si>
  <si>
    <t xml:space="preserve">Geographic distribution</t>
  </si>
  <si>
    <t xml:space="preserve">Country level only; no precise location</t>
  </si>
  <si>
    <t xml:space="preserve">Ranked bar by country</t>
  </si>
  <si>
    <t xml:space="preserve">country_code</t>
  </si>
  <si>
    <t xml:space="preserve">Where are users located, at country level?</t>
  </si>
  <si>
    <t xml:space="preserve">Language, support and content planning</t>
  </si>
  <si>
    <t xml:space="preserve">2.7</t>
  </si>
  <si>
    <t xml:space="preserve">User lifecycle</t>
  </si>
  <si>
    <t xml:space="preserve">Account Status Mix</t>
  </si>
  <si>
    <t xml:space="preserve">U09</t>
  </si>
  <si>
    <t xml:space="preserve">COUNT(user_id) grouped by lifecycle_stage and account_status (snapshot)</t>
  </si>
  <si>
    <t xml:space="preserve">Account_Status_History, Users</t>
  </si>
  <si>
    <t xml:space="preserve">Donut plus table</t>
  </si>
  <si>
    <t xml:space="preserve">lifecycle_stage, account_status</t>
  </si>
  <si>
    <t xml:space="preserve">Daily refresh (weekly measure)</t>
  </si>
  <si>
    <t xml:space="preserve">How many users sit in each stage and status?</t>
  </si>
  <si>
    <t xml:space="preserve">Where to focus lifecycle work</t>
  </si>
  <si>
    <t xml:space="preserve">2.8</t>
  </si>
  <si>
    <t xml:space="preserve">Onboarding funnel</t>
  </si>
  <si>
    <t xml:space="preserve">Onboarding Completion Rate</t>
  </si>
  <si>
    <t xml:space="preserve">U07</t>
  </si>
  <si>
    <t xml:space="preserve">Onboarding Completion Rate: COUNT(users with onboarding_completed) / COUNT(users with onboarding_started), for users registered in the period</t>
  </si>
  <si>
    <t xml:space="preserve">onboarding_step</t>
  </si>
  <si>
    <t xml:space="preserve">Where do new users stop in onboarding?</t>
  </si>
  <si>
    <t xml:space="preserve">Which onboarding step to examine</t>
  </si>
  <si>
    <t xml:space="preserve">2.9</t>
  </si>
  <si>
    <t xml:space="preserve">Cohort retention</t>
  </si>
  <si>
    <t xml:space="preserve">Cohort Retention (Day N)</t>
  </si>
  <si>
    <t xml:space="preserve">U08</t>
  </si>
  <si>
    <t xml:space="preserve">Cohort Retention (Day N): COUNT(cohort users active on day N) / COUNT(cohort users)</t>
  </si>
  <si>
    <t xml:space="preserve">Heatmap (cohort by day N)</t>
  </si>
  <si>
    <t xml:space="preserve">registration cohort week, registration_source</t>
  </si>
  <si>
    <t xml:space="preserve">Registration cohorts by week; N values to be agreed</t>
  </si>
  <si>
    <t xml:space="preserve">Do users come back after registering?</t>
  </si>
  <si>
    <t xml:space="preserve">Whether recent cohorts behave differently</t>
  </si>
  <si>
    <t xml:space="preserve">2.10</t>
  </si>
  <si>
    <t xml:space="preserve">Inactive users</t>
  </si>
  <si>
    <t xml:space="preserve">Inactive Users</t>
  </si>
  <si>
    <t xml:space="preserve">U06</t>
  </si>
  <si>
    <t xml:space="preserve">Inactive Users: COUNT(user_id) where account_status is not closed AND last_activity_at is older than N days (N to be agreed)</t>
  </si>
  <si>
    <t xml:space="preserve">KPI tile with trend</t>
  </si>
  <si>
    <t xml:space="preserve">How large is the lapsed base?</t>
  </si>
  <si>
    <t xml:space="preserve">Whether a re-engagement effort is warranted</t>
  </si>
  <si>
    <t xml:space="preserve">2.11</t>
  </si>
  <si>
    <t xml:space="preserve">Visits vs real activity</t>
  </si>
  <si>
    <t xml:space="preserve">Daily Visitors; Daily Active Users (DAU)</t>
  </si>
  <si>
    <t xml:space="preserve">U10, U02</t>
  </si>
  <si>
    <t xml:space="preserve">Daily Visitors: COUNT(DISTINCT user_id) with user_logged_in on the date | Daily Active Users (DAU): COUNT(DISTINCT user_id) with a qualifying event on the date (UTC; timezone to be agreed)</t>
  </si>
  <si>
    <t xml:space="preserve">Dual line chart</t>
  </si>
  <si>
    <t xml:space="preserve">Do app visits turn into qualifying activity?</t>
  </si>
  <si>
    <t xml:space="preserve">Whether visits without activity need product attention</t>
  </si>
  <si>
    <t xml:space="preserve">Engagement</t>
  </si>
  <si>
    <t xml:space="preserve">3.1</t>
  </si>
  <si>
    <t xml:space="preserve">Feature usage</t>
  </si>
  <si>
    <t xml:space="preserve">Feature Usage</t>
  </si>
  <si>
    <t xml:space="preserve">E01</t>
  </si>
  <si>
    <t xml:space="preserve">Feature Usage: COUNT(DISTINCT user_id) with the feature's start event, per feature</t>
  </si>
  <si>
    <t xml:space="preserve">Bar chart</t>
  </si>
  <si>
    <t xml:space="preserve">Date range, feature, task_type, platform</t>
  </si>
  <si>
    <t xml:space="preserve">feature</t>
  </si>
  <si>
    <t xml:space="preserve">Which features reach the most users?</t>
  </si>
  <si>
    <t xml:space="preserve">Which features to examine</t>
  </si>
  <si>
    <t xml:space="preserve">3.2</t>
  </si>
  <si>
    <t xml:space="preserve">Feature adoption</t>
  </si>
  <si>
    <t xml:space="preserve">Feature Adoption Rate</t>
  </si>
  <si>
    <t xml:space="preserve">E02</t>
  </si>
  <si>
    <t xml:space="preserve">Feature Adoption Rate: Users of the feature / active users in the same period</t>
  </si>
  <si>
    <t xml:space="preserve">Bar chart with trend</t>
  </si>
  <si>
    <t xml:space="preserve">feature, platform</t>
  </si>
  <si>
    <t xml:space="preserve">What share of active users use each feature?</t>
  </si>
  <si>
    <t xml:space="preserve">Where awareness or access may be weak</t>
  </si>
  <si>
    <t xml:space="preserve">3.3</t>
  </si>
  <si>
    <t xml:space="preserve">Task Starts; Task Completions</t>
  </si>
  <si>
    <t xml:space="preserve">E03, E04</t>
  </si>
  <si>
    <t xml:space="preserve">Task Starts: COUNT(task_activity_id) with task_started in the period | Task Completions: COUNT(task_activity_id) with task_completed in the period (by completed_at)</t>
  </si>
  <si>
    <t xml:space="preserve">How much earning activity is happening?</t>
  </si>
  <si>
    <t xml:space="preserve">Task catalogue review</t>
  </si>
  <si>
    <t xml:space="preserve">3.4</t>
  </si>
  <si>
    <t xml:space="preserve">Task completion rate</t>
  </si>
  <si>
    <t xml:space="preserve">Task Completion Rate</t>
  </si>
  <si>
    <t xml:space="preserve">E05</t>
  </si>
  <si>
    <t xml:space="preserve">Unresolved share shown beside the rate</t>
  </si>
  <si>
    <t xml:space="preserve">Line chart plus table</t>
  </si>
  <si>
    <t xml:space="preserve">task_type, feature</t>
  </si>
  <si>
    <t xml:space="preserve">How often do attempts end validated?</t>
  </si>
  <si>
    <t xml:space="preserve">Which task types to investigate</t>
  </si>
  <si>
    <t xml:space="preserve">3.5</t>
  </si>
  <si>
    <t xml:space="preserve">Why tasks fail</t>
  </si>
  <si>
    <t xml:space="preserve">Task Failure Mix</t>
  </si>
  <si>
    <t xml:space="preserve">E06</t>
  </si>
  <si>
    <t xml:space="preserve">Task Failure Mix: COUNT(failed attempts) grouped by failure_category / COUNT(failed attempts)</t>
  </si>
  <si>
    <t xml:space="preserve">Stacked bar (share)</t>
  </si>
  <si>
    <t xml:space="preserve">failure_category, feature</t>
  </si>
  <si>
    <t xml:space="preserve">Why do attempts fail?</t>
  </si>
  <si>
    <t xml:space="preserve">Whether to look at providers, the system or user flow</t>
  </si>
  <si>
    <t xml:space="preserve">3.6</t>
  </si>
  <si>
    <t xml:space="preserve">Repeat usage</t>
  </si>
  <si>
    <t xml:space="preserve">Repeat Usage Rate</t>
  </si>
  <si>
    <t xml:space="preserve">E07</t>
  </si>
  <si>
    <t xml:space="preserve">Repeat Usage Rate: Users with the feature on at least 2 distinct days / users with it on at least 1 day</t>
  </si>
  <si>
    <t xml:space="preserve">Do users come back to a feature?</t>
  </si>
  <si>
    <t xml:space="preserve">Which features build habit</t>
  </si>
  <si>
    <t xml:space="preserve">3.7</t>
  </si>
  <si>
    <t xml:space="preserve">Task funnel</t>
  </si>
  <si>
    <t xml:space="preserve">Task Open Rate; Task Starts</t>
  </si>
  <si>
    <t xml:space="preserve">E10, E03</t>
  </si>
  <si>
    <t xml:space="preserve">Funnel: distinct (user, task) viewed &gt; opened &gt; started</t>
  </si>
  <si>
    <t xml:space="preserve">Funnel (viewed, opened, started)</t>
  </si>
  <si>
    <t xml:space="preserve">Where do users lose interest in tasks?</t>
  </si>
  <si>
    <t xml:space="preserve">Task presentation and ordering</t>
  </si>
  <si>
    <t xml:space="preserve">3.8</t>
  </si>
  <si>
    <t xml:space="preserve">Missions and streaks</t>
  </si>
  <si>
    <t xml:space="preserve">Mission Completion Rate; Streak Length</t>
  </si>
  <si>
    <t xml:space="preserve">E08, E09</t>
  </si>
  <si>
    <t xml:space="preserve">Mission Completion Rate: Missions completed / missions started (per mission attempt) | Streak Length: Median(streak_count) among users with streak_count &gt;= 1 at the snapshot</t>
  </si>
  <si>
    <t xml:space="preserve">Two small charts</t>
  </si>
  <si>
    <t xml:space="preserve">mission_type</t>
  </si>
  <si>
    <t xml:space="preserve">Are missions finished and how long do streaks last?</t>
  </si>
  <si>
    <t xml:space="preserve">Mission and streak design review</t>
  </si>
  <si>
    <t xml:space="preserve">3.9</t>
  </si>
  <si>
    <t xml:space="preserve">Activity trends</t>
  </si>
  <si>
    <t xml:space="preserve">Daily Active Users (DAU)</t>
  </si>
  <si>
    <t xml:space="preserve">U02</t>
  </si>
  <si>
    <t xml:space="preserve">Daily Active Users (DAU): COUNT(DISTINCT user_id) with a qualifying event on the date (UTC; timezone to be agreed)</t>
  </si>
  <si>
    <t xml:space="preserve">Line chart with 7-day average</t>
  </si>
  <si>
    <t xml:space="preserve">How does daily activity move over time?</t>
  </si>
  <si>
    <t xml:space="preserve">Timing of product changes against activity</t>
  </si>
  <si>
    <t xml:space="preserve">3.10</t>
  </si>
  <si>
    <t xml:space="preserve">Support and help</t>
  </si>
  <si>
    <t xml:space="preserve">Support Requests; Issue Category Mix; Help-Center Engagement</t>
  </si>
  <si>
    <t xml:space="preserve">S01, S02, S03</t>
  </si>
  <si>
    <t xml:space="preserve">Support Requests: COUNT(ticket_id) by created_at | Issue Category Mix: COUNT(ticket_id) grouped by issue_category / total COUNT | Help-Center Engagement: Distinct users with feature_opened where feature_name = help_center / active users</t>
  </si>
  <si>
    <t xml:space="preserve">Feature_Events, Support_Tickets</t>
  </si>
  <si>
    <t xml:space="preserve">Bar chart plus table</t>
  </si>
  <si>
    <t xml:space="preserve">issue_category</t>
  </si>
  <si>
    <t xml:space="preserve">What do users ask for help with?</t>
  </si>
  <si>
    <t xml:space="preserve">Help content and product fixes</t>
  </si>
  <si>
    <t xml:space="preserve">4.1</t>
  </si>
  <si>
    <t xml:space="preserve">Reward activity</t>
  </si>
  <si>
    <t xml:space="preserve">Reward Transactions</t>
  </si>
  <si>
    <t xml:space="preserve">R01</t>
  </si>
  <si>
    <t xml:space="preserve">Reward Transactions: COUNT(DISTINCT reward_id) with reward_pending, reward_credited, reward_reversed or reward_corrected in the period</t>
  </si>
  <si>
    <t xml:space="preserve">Date range, source_feature, reward_unit, reward_status</t>
  </si>
  <si>
    <t xml:space="preserve">source_feature</t>
  </si>
  <si>
    <t xml:space="preserve">How many reward records are created?</t>
  </si>
  <si>
    <t xml:space="preserve">Whether reward activity is changing</t>
  </si>
  <si>
    <t xml:space="preserve">4.2</t>
  </si>
  <si>
    <t xml:space="preserve">Reward source</t>
  </si>
  <si>
    <t xml:space="preserve">Reward Activity by Feature</t>
  </si>
  <si>
    <t xml:space="preserve">R05</t>
  </si>
  <si>
    <t xml:space="preserve">Reward Activity by Feature: COUNT and SUM of credited rewards grouped by source_feature and reward_unit</t>
  </si>
  <si>
    <t xml:space="preserve">source_feature, reward_unit</t>
  </si>
  <si>
    <t xml:space="preserve">Which features give out rewards?</t>
  </si>
  <si>
    <t xml:space="preserve">Which features account for rewards</t>
  </si>
  <si>
    <t xml:space="preserve">4.3</t>
  </si>
  <si>
    <t xml:space="preserve">Reward status</t>
  </si>
  <si>
    <t xml:space="preserve">Pending Rewards; Reward Credits; Reward Reversals</t>
  </si>
  <si>
    <t xml:space="preserve">R06, R02, R03</t>
  </si>
  <si>
    <t xml:space="preserve">Pending Rewards: COUNT(reward_id) where reward_status = pending at the snapshot, with median age | Reward Credits: COUNT(reward_id) and SUM(reward_amount) with reward_credited in the period, grouped by reward_unit | Reward Reversals: COUNT(reward_id) with reward_reversed in the period (by reversed_at)</t>
  </si>
  <si>
    <t xml:space="preserve">Stacked bar by status plus pending age</t>
  </si>
  <si>
    <t xml:space="preserve">reward_status, reward_unit</t>
  </si>
  <si>
    <t xml:space="preserve">What state are rewards in?</t>
  </si>
  <si>
    <t xml:space="preserve">Whether pending rewards are building up</t>
  </si>
  <si>
    <t xml:space="preserve">4.4</t>
  </si>
  <si>
    <t xml:space="preserve">Reward trends</t>
  </si>
  <si>
    <t xml:space="preserve">Reward Credits</t>
  </si>
  <si>
    <t xml:space="preserve">R02</t>
  </si>
  <si>
    <t xml:space="preserve">Reward Credits: COUNT(reward_id) and SUM(reward_amount) with reward_credited in the period, grouped by reward_unit</t>
  </si>
  <si>
    <t xml:space="preserve">Line chart per unit</t>
  </si>
  <si>
    <t xml:space="preserve">reward_unit</t>
  </si>
  <si>
    <t xml:space="preserve">How do credited rewards move over time?</t>
  </si>
  <si>
    <t xml:space="preserve">Reward volume review</t>
  </si>
  <si>
    <t xml:space="preserve">4.5</t>
  </si>
  <si>
    <t xml:space="preserve">Reversal activity</t>
  </si>
  <si>
    <t xml:space="preserve">Reward Reversals; Reward Reversal Rate</t>
  </si>
  <si>
    <t xml:space="preserve">R03, R04</t>
  </si>
  <si>
    <t xml:space="preserve">Reward Reversals: COUNT(reward_id) with reward_reversed in the period (by reversed_at) | Reward Reversal Rate: Reversed rewards / credited rewards, for rewards credited in the period</t>
  </si>
  <si>
    <t xml:space="preserve">Line chart plus reason bars</t>
  </si>
  <si>
    <t xml:space="preserve">reason_category</t>
  </si>
  <si>
    <t xml:space="preserve">How often are credited rewards undone, and why?</t>
  </si>
  <si>
    <t xml:space="preserve">Whether to investigate reversal causes</t>
  </si>
  <si>
    <t xml:space="preserve">4.6</t>
  </si>
  <si>
    <t xml:space="preserve">Net rewards</t>
  </si>
  <si>
    <t xml:space="preserve">Net Reward Amount</t>
  </si>
  <si>
    <t xml:space="preserve">R07</t>
  </si>
  <si>
    <t xml:space="preserve">Net Reward Amount: SUM(credited) - SUM(reversed) + SUM(new_amount - old_amount of corrections), per unit</t>
  </si>
  <si>
    <t xml:space="preserve">What is earned after reversals and corrections?</t>
  </si>
  <si>
    <t xml:space="preserve">Which totals to use in reporting</t>
  </si>
  <si>
    <t xml:space="preserve">Wallet</t>
  </si>
  <si>
    <t xml:space="preserve">5.1</t>
  </si>
  <si>
    <t xml:space="preserve">Wallet transactions</t>
  </si>
  <si>
    <t xml:space="preserve">Wallet Transactions</t>
  </si>
  <si>
    <t xml:space="preserve">W01</t>
  </si>
  <si>
    <t xml:space="preserve">Wallet Transactions: COUNT(transaction_id) with status = completed and completed_at in the period, by transaction_type</t>
  </si>
  <si>
    <t xml:space="preserve">Date range, transaction_type, unit, source_feature</t>
  </si>
  <si>
    <t xml:space="preserve">What kinds of ledger entries occur?</t>
  </si>
  <si>
    <t xml:space="preserve">Ledger activity review</t>
  </si>
  <si>
    <t xml:space="preserve">5.2</t>
  </si>
  <si>
    <t xml:space="preserve">Credit volume</t>
  </si>
  <si>
    <t xml:space="preserve">Credit Volume</t>
  </si>
  <si>
    <t xml:space="preserve">W02</t>
  </si>
  <si>
    <t xml:space="preserve">Credit Volume: SUM(amount) where direction = credit and status = completed, per unit</t>
  </si>
  <si>
    <t xml:space="preserve">unit, source_feature</t>
  </si>
  <si>
    <t xml:space="preserve">How much value is credited?</t>
  </si>
  <si>
    <t xml:space="preserve">Volume review</t>
  </si>
  <si>
    <t xml:space="preserve">5.3</t>
  </si>
  <si>
    <t xml:space="preserve">Redemptions</t>
  </si>
  <si>
    <t xml:space="preserve">Redemption Activity</t>
  </si>
  <si>
    <t xml:space="preserve">W03</t>
  </si>
  <si>
    <t xml:space="preserve">Redemption Activity: COUNT and SUM(amount) where transaction_type = redemption and status = completed</t>
  </si>
  <si>
    <t xml:space="preserve">unit</t>
  </si>
  <si>
    <t xml:space="preserve">How is value used inside VELOOP?</t>
  </si>
  <si>
    <t xml:space="preserve">Whether redemption options need attention</t>
  </si>
  <si>
    <t xml:space="preserve">5.4</t>
  </si>
  <si>
    <t xml:space="preserve">Wallet reversals</t>
  </si>
  <si>
    <t xml:space="preserve">Wallet Reversals</t>
  </si>
  <si>
    <t xml:space="preserve">W04</t>
  </si>
  <si>
    <t xml:space="preserve">Wallet Reversals: COUNT(transaction_id) where transaction_type = reversal; share = reversals / completed entries</t>
  </si>
  <si>
    <t xml:space="preserve">Line chart plus share</t>
  </si>
  <si>
    <t xml:space="preserve">How often are ledger entries reversed?</t>
  </si>
  <si>
    <t xml:space="preserve">Whether to investigate reversals</t>
  </si>
  <si>
    <t xml:space="preserve">5.5</t>
  </si>
  <si>
    <t xml:space="preserve">How does ledger activity move over time?</t>
  </si>
  <si>
    <t xml:space="preserve">Timing of changes against ledger activity</t>
  </si>
  <si>
    <t xml:space="preserve">5.6</t>
  </si>
  <si>
    <t xml:space="preserve">Exchange activity</t>
  </si>
  <si>
    <t xml:space="preserve">Exchange Activity</t>
  </si>
  <si>
    <t xml:space="preserve">W05</t>
  </si>
  <si>
    <t xml:space="preserve">Exchange Activity: COUNT(exchange_group_id) with a completed exchange, grouped by from_unit and to_unit</t>
  </si>
  <si>
    <t xml:space="preserve">Table by unit pair</t>
  </si>
  <si>
    <t xml:space="preserve">from_unit, to_unit</t>
  </si>
  <si>
    <t xml:space="preserve">Which exchanges are used?</t>
  </si>
  <si>
    <t xml:space="preserve">Whether the exchange feature matters</t>
  </si>
  <si>
    <t xml:space="preserve">5.7</t>
  </si>
  <si>
    <t xml:space="preserve">Reconciliation</t>
  </si>
  <si>
    <t xml:space="preserve">Wallet Reconciliation Exceptions</t>
  </si>
  <si>
    <t xml:space="preserve">T01</t>
  </si>
  <si>
    <t xml:space="preserve">Wallet Reconciliation Exceptions: COUNT(user_id, unit) where SUM(completed credits) - SUM(completed debits) differs from the latest balance_after</t>
  </si>
  <si>
    <t xml:space="preserve">Table of exceptions with status colour</t>
  </si>
  <si>
    <t xml:space="preserve">rule_id, unit</t>
  </si>
  <si>
    <t xml:space="preserve">Do wallet balances agree with the ledger?</t>
  </si>
  <si>
    <t xml:space="preserve">Whether to hold reports and escalate</t>
  </si>
  <si>
    <t xml:space="preserve">6.1</t>
  </si>
  <si>
    <t xml:space="preserve">Withdrawal requests</t>
  </si>
  <si>
    <t xml:space="preserve">Withdrawal Requests</t>
  </si>
  <si>
    <t xml:space="preserve">D01</t>
  </si>
  <si>
    <t xml:space="preserve">Withdrawal Requests: COUNT(withdrawal_id) where requested_at is in the period</t>
  </si>
  <si>
    <t xml:space="preserve">Date range, method, status, requested_unit, reason_category</t>
  </si>
  <si>
    <t xml:space="preserve">method</t>
  </si>
  <si>
    <t xml:space="preserve">How many withdrawals are requested?</t>
  </si>
  <si>
    <t xml:space="preserve">Operations workload planning</t>
  </si>
  <si>
    <t xml:space="preserve">6.2</t>
  </si>
  <si>
    <t xml:space="preserve">Withdrawal status</t>
  </si>
  <si>
    <t xml:space="preserve">Completed Withdrawals; Pending Withdrawals; Rejected Withdrawals; Reversed Withdrawals</t>
  </si>
  <si>
    <t xml:space="preserve">D02, D03, D04, D05</t>
  </si>
  <si>
    <t xml:space="preserve">Completed Withdrawals: COUNT(withdrawal_id) where status = completed and final_at is in the period | Pending Withdrawals: COUNT(withdrawal_id) where status is requested or processing | Rejected Withdrawals: COUNT(withdrawal_id) where status = rejected and final_at is in the period | Reversed Withdrawals: COUNT(withdrawal_id) where status = reversed and reversed_at is in the period</t>
  </si>
  <si>
    <t xml:space="preserve">Stacked bar by status</t>
  </si>
  <si>
    <t xml:space="preserve">status, method</t>
  </si>
  <si>
    <t xml:space="preserve">Where do requests end up?</t>
  </si>
  <si>
    <t xml:space="preserve">Whether review is keeping pace</t>
  </si>
  <si>
    <t xml:space="preserve">6.3</t>
  </si>
  <si>
    <t xml:space="preserve">Processing duration</t>
  </si>
  <si>
    <t xml:space="preserve">Processing Time</t>
  </si>
  <si>
    <t xml:space="preserve">D06</t>
  </si>
  <si>
    <t xml:space="preserve">Shown with pending queue age</t>
  </si>
  <si>
    <t xml:space="preserve">Median and 90th percentile lines</t>
  </si>
  <si>
    <t xml:space="preserve">How long do requests take?</t>
  </si>
  <si>
    <t xml:space="preserve">Whether processing needs attention</t>
  </si>
  <si>
    <t xml:space="preserve">6.4</t>
  </si>
  <si>
    <t xml:space="preserve">Pending queue</t>
  </si>
  <si>
    <t xml:space="preserve">Pending Withdrawals; Pending Queue Age</t>
  </si>
  <si>
    <t xml:space="preserve">D03, D08</t>
  </si>
  <si>
    <t xml:space="preserve">Pending Withdrawals: COUNT(withdrawal_id) where status is requested or processing | Pending Queue Age: Median and maximum of (now - requested_at) for pending requests</t>
  </si>
  <si>
    <t xml:space="preserve">KPI tiles plus age histogram</t>
  </si>
  <si>
    <t xml:space="preserve">How many requests are waiting and for how long?</t>
  </si>
  <si>
    <t xml:space="preserve">Whether to escalate stuck requests</t>
  </si>
  <si>
    <t xml:space="preserve">6.5</t>
  </si>
  <si>
    <t xml:space="preserve">Payout methods</t>
  </si>
  <si>
    <t xml:space="preserve">Withdrawal Method Distribution</t>
  </si>
  <si>
    <t xml:space="preserve">D10</t>
  </si>
  <si>
    <t xml:space="preserve">Withdrawal Method Distribution: COUNT(withdrawal_id) grouped by method / total COUNT</t>
  </si>
  <si>
    <t xml:space="preserve">Which methods do users choose?</t>
  </si>
  <si>
    <t xml:space="preserve">Whether method availability needs attention</t>
  </si>
  <si>
    <t xml:space="preserve">6.6</t>
  </si>
  <si>
    <t xml:space="preserve">Completion rate</t>
  </si>
  <si>
    <t xml:space="preserve">Withdrawal Completion Rate</t>
  </si>
  <si>
    <t xml:space="preserve">D07</t>
  </si>
  <si>
    <t xml:space="preserve">Pending share always shown beside the rate</t>
  </si>
  <si>
    <t xml:space="preserve">Line chart with pending share</t>
  </si>
  <si>
    <t xml:space="preserve">Do requests reach completion?</t>
  </si>
  <si>
    <t xml:space="preserve">Whether to look at rejections and delays</t>
  </si>
  <si>
    <t xml:space="preserve">6.7</t>
  </si>
  <si>
    <t xml:space="preserve">Withdrawal volume</t>
  </si>
  <si>
    <t xml:space="preserve">Withdrawal Volume</t>
  </si>
  <si>
    <t xml:space="preserve">D09</t>
  </si>
  <si>
    <t xml:space="preserve">Amounts per unit only</t>
  </si>
  <si>
    <t xml:space="preserve">requested_unit</t>
  </si>
  <si>
    <t xml:space="preserve">How much is requested and paid?</t>
  </si>
  <si>
    <t xml:space="preserve">6.8</t>
  </si>
  <si>
    <t xml:space="preserve">Rejection reasons</t>
  </si>
  <si>
    <t xml:space="preserve">Rejected Withdrawals</t>
  </si>
  <si>
    <t xml:space="preserve">D04</t>
  </si>
  <si>
    <t xml:space="preserve">Rejected Withdrawals: COUNT(withdrawal_id) where status = rejected and final_at is in the period</t>
  </si>
  <si>
    <t xml:space="preserve">Horizontal bar</t>
  </si>
  <si>
    <t xml:space="preserve">reason_category, method</t>
  </si>
  <si>
    <t xml:space="preserve">Why are requests rejected?</t>
  </si>
  <si>
    <t xml:space="preserve">Which rejection causes to address</t>
  </si>
  <si>
    <t xml:space="preserve">7.1</t>
  </si>
  <si>
    <t xml:space="preserve">Referral creation</t>
  </si>
  <si>
    <t xml:space="preserve">Referrals Created</t>
  </si>
  <si>
    <t xml:space="preserve">F01</t>
  </si>
  <si>
    <t xml:space="preserve">Referrals Created: COUNT(referral_id) by created_at</t>
  </si>
  <si>
    <t xml:space="preserve">Date range, source_channel, platform, registration_source</t>
  </si>
  <si>
    <t xml:space="preserve">How many referrals are created?</t>
  </si>
  <si>
    <t xml:space="preserve">Whether the programme is being used</t>
  </si>
  <si>
    <t xml:space="preserve">7.2</t>
  </si>
  <si>
    <t xml:space="preserve">Referral registrations</t>
  </si>
  <si>
    <t xml:space="preserve">Referral Registrations</t>
  </si>
  <si>
    <t xml:space="preserve">F02</t>
  </si>
  <si>
    <t xml:space="preserve">Registration is shown as its own step, not as success</t>
  </si>
  <si>
    <t xml:space="preserve">How many invited people register?</t>
  </si>
  <si>
    <t xml:space="preserve">Whether invitations lead to sign-ups</t>
  </si>
  <si>
    <t xml:space="preserve">7.3</t>
  </si>
  <si>
    <t xml:space="preserve">Referral activations</t>
  </si>
  <si>
    <t xml:space="preserve">Referral Activations; Referral Activation Rate</t>
  </si>
  <si>
    <t xml:space="preserve">F03, F05</t>
  </si>
  <si>
    <t xml:space="preserve">Referral Activations: COUNT(referral_id) where activated_at is in the period | Referral Activation Rate: Activated / registered, for referrals registered in the period</t>
  </si>
  <si>
    <t xml:space="preserve">How many registered referrals become active?</t>
  </si>
  <si>
    <t xml:space="preserve">Whether the activation step needs review</t>
  </si>
  <si>
    <t xml:space="preserve">7.4</t>
  </si>
  <si>
    <t xml:space="preserve">Referral conversions</t>
  </si>
  <si>
    <t xml:space="preserve">Referral Conversions; Referral Conversion Rate</t>
  </si>
  <si>
    <t xml:space="preserve">F04, F06</t>
  </si>
  <si>
    <t xml:space="preserve">Open referrals shown beside the rate</t>
  </si>
  <si>
    <t xml:space="preserve">How many referrals are successful?</t>
  </si>
  <si>
    <t xml:space="preserve">Whether the programme delivers</t>
  </si>
  <si>
    <t xml:space="preserve">7.5</t>
  </si>
  <si>
    <t xml:space="preserve">Where do referrals drop?</t>
  </si>
  <si>
    <t xml:space="preserve">Which step to examine</t>
  </si>
  <si>
    <t xml:space="preserve">7.6</t>
  </si>
  <si>
    <t xml:space="preserve">Referral cohorts</t>
  </si>
  <si>
    <t xml:space="preserve">Referral Conversion Rate</t>
  </si>
  <si>
    <t xml:space="preserve">F06</t>
  </si>
  <si>
    <t xml:space="preserve">Referral Conversion Rate: Converted / created, for referrals created in the period</t>
  </si>
  <si>
    <t xml:space="preserve">Table by creation week</t>
  </si>
  <si>
    <t xml:space="preserve">created week, source_channel</t>
  </si>
  <si>
    <t xml:space="preserve">Referral creation cohorts by week</t>
  </si>
  <si>
    <t xml:space="preserve">Do older referrals mature into conversions?</t>
  </si>
  <si>
    <t xml:space="preserve">Whether recent rates will rise as referrals mature</t>
  </si>
  <si>
    <t xml:space="preserve">#</t>
  </si>
  <si>
    <t xml:space="preserve">Audience</t>
  </si>
  <si>
    <t xml:space="preserve">Purpose</t>
  </si>
  <si>
    <t xml:space="preserve">Global filters</t>
  </si>
  <si>
    <t xml:space="preserve">Sections (from brief)</t>
  </si>
  <si>
    <t xml:space="preserve">Visuals</t>
  </si>
  <si>
    <t xml:space="preserve">Management, Product, Operations</t>
  </si>
  <si>
    <t xml:space="preserve">One-screen picture across users, engagement, rewards, wallet, withdrawals and referrals, with a data-trust strip so readers know how far to rely on the numbers</t>
  </si>
  <si>
    <t xml:space="preserve">user activity, engagement, reward activity, wallet activity, withdrawal activity, referral activity</t>
  </si>
  <si>
    <t xml:space="preserve">Product, Marketing</t>
  </si>
  <si>
    <t xml:space="preserve">Understand who joins, from where, on which platform, and whether they stay</t>
  </si>
  <si>
    <t xml:space="preserve">registrations, active users, returning users, acquisition source, device, geographic distribution, user lifecycle</t>
  </si>
  <si>
    <t xml:space="preserve">Product, Operations</t>
  </si>
  <si>
    <t xml:space="preserve">See which features and tasks people use, whether they finish them and whether they come back</t>
  </si>
  <si>
    <t xml:space="preserve">feature usage, task activity, completion, repeat usage, activity trends, support and help</t>
  </si>
  <si>
    <t xml:space="preserve">Finance, Operations, Product</t>
  </si>
  <si>
    <t xml:space="preserve">Show what rewards are given, from which features, in what state, and how often they are undone</t>
  </si>
  <si>
    <t xml:space="preserve">reward activity, reward source, reward status, reward trends, reversal activity</t>
  </si>
  <si>
    <t xml:space="preserve">Finance, Engineering, Operations</t>
  </si>
  <si>
    <t xml:space="preserve">Show ledger activity and whether wallet records agree with each other</t>
  </si>
  <si>
    <t xml:space="preserve">transactions, credits, redemptions, reversals, activity trends, reconciliation</t>
  </si>
  <si>
    <t xml:space="preserve">Operations, Finance</t>
  </si>
  <si>
    <t xml:space="preserve">Show how withdrawal requests move through the lifecycle, how long they take and where they stall</t>
  </si>
  <si>
    <t xml:space="preserve">requests, status, processing duration, payout methods, trends</t>
  </si>
  <si>
    <t xml:space="preserve">Show whether referrals become real, active users, keeping registration separate from conversion</t>
  </si>
  <si>
    <t xml:space="preserve">referral creation, registrations, activations, conversion</t>
  </si>
  <si>
    <t xml:space="preserve">Standard</t>
  </si>
  <si>
    <t xml:space="preserve">Rule</t>
  </si>
  <si>
    <t xml:space="preserve">Data trust</t>
  </si>
  <si>
    <t xml:space="preserve">Every dashboard shows 'data as of', the count of quarantined records, and the unresolved-key rate from the quality framework (Work Package L).</t>
  </si>
  <si>
    <t xml:space="preserve">No targets</t>
  </si>
  <si>
    <t xml:space="preserve">No dashboard shows a target, benchmark or goal line. Comparison is with the previous period only.</t>
  </si>
  <si>
    <t xml:space="preserve">Units</t>
  </si>
  <si>
    <t xml:space="preserve">Amounts are shown per unit. A visual never adds different units together (rule DQ035).</t>
  </si>
  <si>
    <t xml:space="preserve">Open items</t>
  </si>
  <si>
    <t xml:space="preserve">Rates that mature over time show the unresolved or pending share beside them. Incomplete periods are shaded.</t>
  </si>
  <si>
    <t xml:space="preserve">Labels</t>
  </si>
  <si>
    <t xml:space="preserve">Proposed and To Be Verified KPIs are marked in tooltips until they are confirmed.</t>
  </si>
  <si>
    <t xml:space="preserve">Personal data</t>
  </si>
  <si>
    <t xml:space="preserve">No visual shows names, contact details or precise location. Geography is country level.</t>
  </si>
  <si>
    <t xml:space="preserve">Simulated data</t>
  </si>
  <si>
    <t xml:space="preserve">Any dashboard fed by simulated data carries the banner 'SIMULATED DATA - CREATED FOR ANALYTICAL TESTING' and never mixes with production data.</t>
  </si>
  <si>
    <t xml:space="preserve">Refresh</t>
  </si>
  <si>
    <t xml:space="preserve">Daily batch refresh. Real-time is not proposed; it can be added when a decision needs it.</t>
  </si>
  <si>
    <t xml:space="preserve">Access</t>
  </si>
  <si>
    <t xml:space="preserve">Executive and aggregated views for Product, Operations and Content; row-level data only for Engineering and Data Analyst roles (Work Package P).</t>
  </si>
  <si>
    <t xml:space="preserve">KPI ID</t>
  </si>
  <si>
    <t xml:space="preserve">KPI Name</t>
  </si>
  <si>
    <t xml:space="preserve">Visuals using it</t>
  </si>
  <si>
    <t xml:space="preserve">U03</t>
  </si>
  <si>
    <t xml:space="preserve">Weekly Active Users (WAU)</t>
  </si>
  <si>
    <t xml:space="preserve">U04</t>
  </si>
  <si>
    <t xml:space="preserve">Monthly Active Users (MAU)</t>
  </si>
  <si>
    <t xml:space="preserve">U05</t>
  </si>
  <si>
    <t xml:space="preserve">Returning Users</t>
  </si>
  <si>
    <t xml:space="preserve">U10</t>
  </si>
  <si>
    <t xml:space="preserve">Daily Visitors</t>
  </si>
  <si>
    <t xml:space="preserve">E03</t>
  </si>
  <si>
    <t xml:space="preserve">Task Starts</t>
  </si>
  <si>
    <t xml:space="preserve">E04</t>
  </si>
  <si>
    <t xml:space="preserve">Task Completions</t>
  </si>
  <si>
    <t xml:space="preserve">E08</t>
  </si>
  <si>
    <t xml:space="preserve">Mission Completion Rate</t>
  </si>
  <si>
    <t xml:space="preserve">E09</t>
  </si>
  <si>
    <t xml:space="preserve">Streak Length</t>
  </si>
  <si>
    <t xml:space="preserve">E10</t>
  </si>
  <si>
    <t xml:space="preserve">Task Open Rate</t>
  </si>
  <si>
    <t xml:space="preserve">R03</t>
  </si>
  <si>
    <t xml:space="preserve">Reward Reversals</t>
  </si>
  <si>
    <t xml:space="preserve">R04</t>
  </si>
  <si>
    <t xml:space="preserve">Reward Reversal Rate</t>
  </si>
  <si>
    <t xml:space="preserve">R06</t>
  </si>
  <si>
    <t xml:space="preserve">Pending Rewards</t>
  </si>
  <si>
    <t xml:space="preserve">D02</t>
  </si>
  <si>
    <t xml:space="preserve">Completed Withdrawals</t>
  </si>
  <si>
    <t xml:space="preserve">D03</t>
  </si>
  <si>
    <t xml:space="preserve">Pending Withdrawals</t>
  </si>
  <si>
    <t xml:space="preserve">D05</t>
  </si>
  <si>
    <t xml:space="preserve">Reversed Withdrawals</t>
  </si>
  <si>
    <t xml:space="preserve">D08</t>
  </si>
  <si>
    <t xml:space="preserve">Pending Queue Age</t>
  </si>
  <si>
    <t xml:space="preserve">F03</t>
  </si>
  <si>
    <t xml:space="preserve">Referral Activations</t>
  </si>
  <si>
    <t xml:space="preserve">F04</t>
  </si>
  <si>
    <t xml:space="preserve">Referral Conversions</t>
  </si>
  <si>
    <t xml:space="preserve">F05</t>
  </si>
  <si>
    <t xml:space="preserve">Referral Activation Rate</t>
  </si>
  <si>
    <t xml:space="preserve">S01</t>
  </si>
  <si>
    <t xml:space="preserve">Support Requests</t>
  </si>
  <si>
    <t xml:space="preserve">S02</t>
  </si>
  <si>
    <t xml:space="preserve">Issue Category Mix</t>
  </si>
  <si>
    <t xml:space="preserve">S03</t>
  </si>
  <si>
    <t xml:space="preserve">Help-Center Engagement</t>
  </si>
  <si>
    <t xml:space="preserve">T02</t>
  </si>
  <si>
    <t xml:space="preserve">Provider Callback Reliability</t>
  </si>
  <si>
    <t xml:space="preserve">T03</t>
  </si>
  <si>
    <t xml:space="preserve">Event Delivery Delay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</si>
</sst>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  <c r="B13" s="5" t="n">
        <f aca="false">COUNTA(Dashboards!A:A)-1</f>
        <v>7</v>
      </c>
    </row>
    <row r="14" customFormat="false" ht="15" hidden="false" customHeight="false" outlineLevel="0" collapsed="false">
      <c r="A14" s="5" t="s">
        <v>11</v>
      </c>
      <c r="B14" s="5" t="n">
        <f aca="false">COUNTA(Visual_Specs!C:C)-1</f>
        <v>56</v>
      </c>
    </row>
    <row r="15" customFormat="false" ht="15" hidden="false" customHeight="false" outlineLevel="0" collapsed="false">
      <c r="A15" s="5" t="s">
        <v>12</v>
      </c>
      <c r="B15" s="5" t="n">
        <f aca="false">COUNTIF(KPI_Coverage!C:C,0)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70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38"/>
    <col collapsed="false" customWidth="true" hidden="false" outlineLevel="0" max="12" min="11" style="0" width="30"/>
    <col collapsed="false" customWidth="true" hidden="false" outlineLevel="0" max="13" min="13" style="0" width="22"/>
    <col collapsed="false" customWidth="true" hidden="false" outlineLevel="0" max="14" min="14" style="0" width="40"/>
    <col collapsed="false" customWidth="true" hidden="false" outlineLevel="0" max="15" min="15" style="0" width="44"/>
  </cols>
  <sheetData>
    <row r="1" customFormat="false" ht="23.8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</row>
    <row r="2" customFormat="false" ht="46.25" hidden="false" customHeight="false" outlineLevel="0" collapsed="false">
      <c r="A2" s="7" t="n">
        <v>1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40</v>
      </c>
      <c r="O2" s="7" t="s">
        <v>41</v>
      </c>
    </row>
    <row r="3" customFormat="false" ht="23.85" hidden="false" customHeight="false" outlineLevel="0" collapsed="false">
      <c r="A3" s="7" t="n">
        <v>1</v>
      </c>
      <c r="B3" s="7" t="s">
        <v>28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7" t="s">
        <v>48</v>
      </c>
      <c r="J3" s="7" t="s">
        <v>36</v>
      </c>
      <c r="K3" s="7" t="s">
        <v>49</v>
      </c>
      <c r="L3" s="7" t="s">
        <v>38</v>
      </c>
      <c r="M3" s="7" t="s">
        <v>39</v>
      </c>
      <c r="N3" s="7" t="s">
        <v>50</v>
      </c>
      <c r="O3" s="7" t="s">
        <v>51</v>
      </c>
    </row>
    <row r="4" customFormat="false" ht="46.25" hidden="false" customHeight="false" outlineLevel="0" collapsed="false">
      <c r="A4" s="7" t="n">
        <v>1</v>
      </c>
      <c r="B4" s="7" t="s">
        <v>28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36</v>
      </c>
      <c r="K4" s="7" t="s">
        <v>59</v>
      </c>
      <c r="L4" s="7" t="s">
        <v>38</v>
      </c>
      <c r="M4" s="7" t="s">
        <v>39</v>
      </c>
      <c r="N4" s="7" t="s">
        <v>60</v>
      </c>
      <c r="O4" s="7" t="s">
        <v>61</v>
      </c>
    </row>
    <row r="5" customFormat="false" ht="23.85" hidden="false" customHeight="false" outlineLevel="0" collapsed="false">
      <c r="A5" s="7" t="n">
        <v>1</v>
      </c>
      <c r="B5" s="7" t="s">
        <v>28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36</v>
      </c>
      <c r="K5" s="7" t="s">
        <v>69</v>
      </c>
      <c r="L5" s="7" t="s">
        <v>38</v>
      </c>
      <c r="M5" s="7" t="s">
        <v>39</v>
      </c>
      <c r="N5" s="7" t="s">
        <v>70</v>
      </c>
      <c r="O5" s="7" t="s">
        <v>71</v>
      </c>
    </row>
    <row r="6" customFormat="false" ht="46.25" hidden="false" customHeight="false" outlineLevel="0" collapsed="false">
      <c r="A6" s="7" t="n">
        <v>1</v>
      </c>
      <c r="B6" s="7" t="s">
        <v>28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78</v>
      </c>
      <c r="J6" s="7" t="s">
        <v>36</v>
      </c>
      <c r="K6" s="7" t="s">
        <v>79</v>
      </c>
      <c r="L6" s="7" t="s">
        <v>80</v>
      </c>
      <c r="M6" s="7" t="s">
        <v>39</v>
      </c>
      <c r="N6" s="7" t="s">
        <v>81</v>
      </c>
      <c r="O6" s="7" t="s">
        <v>82</v>
      </c>
    </row>
    <row r="7" customFormat="false" ht="57.45" hidden="false" customHeight="false" outlineLevel="0" collapsed="false">
      <c r="A7" s="7" t="n">
        <v>1</v>
      </c>
      <c r="B7" s="7" t="s">
        <v>28</v>
      </c>
      <c r="C7" s="7" t="s">
        <v>83</v>
      </c>
      <c r="D7" s="7" t="s">
        <v>84</v>
      </c>
      <c r="E7" s="7" t="s">
        <v>85</v>
      </c>
      <c r="F7" s="7" t="s">
        <v>86</v>
      </c>
      <c r="G7" s="7" t="s">
        <v>87</v>
      </c>
      <c r="H7" s="7" t="s">
        <v>88</v>
      </c>
      <c r="I7" s="7" t="s">
        <v>89</v>
      </c>
      <c r="J7" s="7" t="s">
        <v>36</v>
      </c>
      <c r="K7" s="7" t="s">
        <v>90</v>
      </c>
      <c r="L7" s="7" t="s">
        <v>38</v>
      </c>
      <c r="M7" s="7" t="s">
        <v>39</v>
      </c>
      <c r="N7" s="7" t="s">
        <v>91</v>
      </c>
      <c r="O7" s="7" t="s">
        <v>92</v>
      </c>
    </row>
    <row r="8" customFormat="false" ht="46.25" hidden="false" customHeight="false" outlineLevel="0" collapsed="false">
      <c r="A8" s="7" t="n">
        <v>1</v>
      </c>
      <c r="B8" s="7" t="s">
        <v>28</v>
      </c>
      <c r="C8" s="7" t="s">
        <v>93</v>
      </c>
      <c r="D8" s="7" t="s">
        <v>94</v>
      </c>
      <c r="E8" s="7" t="s">
        <v>95</v>
      </c>
      <c r="F8" s="7" t="s">
        <v>96</v>
      </c>
      <c r="G8" s="7" t="s">
        <v>97</v>
      </c>
      <c r="H8" s="7" t="s">
        <v>98</v>
      </c>
      <c r="I8" s="7" t="s">
        <v>99</v>
      </c>
      <c r="J8" s="7" t="s">
        <v>36</v>
      </c>
      <c r="K8" s="7" t="s">
        <v>100</v>
      </c>
      <c r="L8" s="7" t="s">
        <v>38</v>
      </c>
      <c r="M8" s="7" t="s">
        <v>39</v>
      </c>
      <c r="N8" s="7" t="s">
        <v>101</v>
      </c>
      <c r="O8" s="7" t="s">
        <v>102</v>
      </c>
    </row>
    <row r="9" customFormat="false" ht="23.85" hidden="false" customHeight="false" outlineLevel="0" collapsed="false">
      <c r="A9" s="7" t="n">
        <v>1</v>
      </c>
      <c r="B9" s="7" t="s">
        <v>28</v>
      </c>
      <c r="C9" s="7" t="s">
        <v>103</v>
      </c>
      <c r="D9" s="7" t="s">
        <v>104</v>
      </c>
      <c r="E9" s="7" t="s">
        <v>105</v>
      </c>
      <c r="F9" s="7" t="s">
        <v>106</v>
      </c>
      <c r="G9" s="7" t="s">
        <v>107</v>
      </c>
      <c r="H9" s="7" t="s">
        <v>108</v>
      </c>
      <c r="I9" s="7" t="s">
        <v>109</v>
      </c>
      <c r="J9" s="7" t="s">
        <v>36</v>
      </c>
      <c r="K9" s="7" t="s">
        <v>110</v>
      </c>
      <c r="L9" s="7" t="s">
        <v>80</v>
      </c>
      <c r="M9" s="7" t="s">
        <v>39</v>
      </c>
      <c r="N9" s="7" t="s">
        <v>111</v>
      </c>
      <c r="O9" s="7" t="s">
        <v>112</v>
      </c>
    </row>
    <row r="10" customFormat="false" ht="23.85" hidden="false" customHeight="false" outlineLevel="0" collapsed="false">
      <c r="A10" s="7" t="n">
        <v>2</v>
      </c>
      <c r="B10" s="7" t="s">
        <v>113</v>
      </c>
      <c r="C10" s="7" t="s">
        <v>114</v>
      </c>
      <c r="D10" s="7" t="s">
        <v>115</v>
      </c>
      <c r="E10" s="7" t="s">
        <v>44</v>
      </c>
      <c r="F10" s="7" t="s">
        <v>45</v>
      </c>
      <c r="G10" s="7" t="s">
        <v>46</v>
      </c>
      <c r="H10" s="7" t="s">
        <v>47</v>
      </c>
      <c r="I10" s="7" t="s">
        <v>116</v>
      </c>
      <c r="J10" s="7" t="s">
        <v>117</v>
      </c>
      <c r="K10" s="7" t="s">
        <v>118</v>
      </c>
      <c r="L10" s="7" t="s">
        <v>38</v>
      </c>
      <c r="M10" s="7" t="s">
        <v>39</v>
      </c>
      <c r="N10" s="7" t="s">
        <v>119</v>
      </c>
      <c r="O10" s="7" t="s">
        <v>120</v>
      </c>
    </row>
    <row r="11" customFormat="false" ht="23.85" hidden="false" customHeight="false" outlineLevel="0" collapsed="false">
      <c r="A11" s="7" t="n">
        <v>2</v>
      </c>
      <c r="B11" s="7" t="s">
        <v>113</v>
      </c>
      <c r="C11" s="7" t="s">
        <v>121</v>
      </c>
      <c r="D11" s="7" t="s">
        <v>122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123</v>
      </c>
      <c r="J11" s="7" t="s">
        <v>117</v>
      </c>
      <c r="K11" s="7" t="s">
        <v>124</v>
      </c>
      <c r="L11" s="7" t="s">
        <v>38</v>
      </c>
      <c r="M11" s="7" t="s">
        <v>39</v>
      </c>
      <c r="N11" s="7" t="s">
        <v>125</v>
      </c>
      <c r="O11" s="7" t="s">
        <v>126</v>
      </c>
    </row>
    <row r="12" customFormat="false" ht="46.25" hidden="false" customHeight="false" outlineLevel="0" collapsed="false">
      <c r="A12" s="7" t="n">
        <v>2</v>
      </c>
      <c r="B12" s="7" t="s">
        <v>113</v>
      </c>
      <c r="C12" s="7" t="s">
        <v>127</v>
      </c>
      <c r="D12" s="7" t="s">
        <v>128</v>
      </c>
      <c r="E12" s="7" t="s">
        <v>31</v>
      </c>
      <c r="F12" s="7" t="s">
        <v>32</v>
      </c>
      <c r="G12" s="7" t="s">
        <v>33</v>
      </c>
      <c r="H12" s="7" t="s">
        <v>34</v>
      </c>
      <c r="I12" s="7" t="s">
        <v>116</v>
      </c>
      <c r="J12" s="7" t="s">
        <v>117</v>
      </c>
      <c r="K12" s="7" t="s">
        <v>129</v>
      </c>
      <c r="L12" s="7" t="s">
        <v>38</v>
      </c>
      <c r="M12" s="7" t="s">
        <v>39</v>
      </c>
      <c r="N12" s="7" t="s">
        <v>130</v>
      </c>
      <c r="O12" s="7" t="s">
        <v>131</v>
      </c>
    </row>
    <row r="13" customFormat="false" ht="23.85" hidden="false" customHeight="false" outlineLevel="0" collapsed="false">
      <c r="A13" s="7" t="n">
        <v>2</v>
      </c>
      <c r="B13" s="7" t="s">
        <v>113</v>
      </c>
      <c r="C13" s="7" t="s">
        <v>132</v>
      </c>
      <c r="D13" s="7" t="s">
        <v>133</v>
      </c>
      <c r="E13" s="7" t="s">
        <v>134</v>
      </c>
      <c r="F13" s="7" t="s">
        <v>135</v>
      </c>
      <c r="G13" s="7" t="s">
        <v>136</v>
      </c>
      <c r="H13" s="7" t="s">
        <v>137</v>
      </c>
      <c r="I13" s="7" t="s">
        <v>138</v>
      </c>
      <c r="J13" s="7" t="s">
        <v>117</v>
      </c>
      <c r="K13" s="7" t="s">
        <v>129</v>
      </c>
      <c r="L13" s="7" t="s">
        <v>38</v>
      </c>
      <c r="M13" s="7" t="s">
        <v>39</v>
      </c>
      <c r="N13" s="7" t="s">
        <v>139</v>
      </c>
      <c r="O13" s="7" t="s">
        <v>140</v>
      </c>
    </row>
    <row r="14" customFormat="false" ht="35.05" hidden="false" customHeight="false" outlineLevel="0" collapsed="false">
      <c r="A14" s="7" t="n">
        <v>2</v>
      </c>
      <c r="B14" s="7" t="s">
        <v>113</v>
      </c>
      <c r="C14" s="7" t="s">
        <v>141</v>
      </c>
      <c r="D14" s="7" t="s">
        <v>142</v>
      </c>
      <c r="E14" s="7" t="s">
        <v>143</v>
      </c>
      <c r="F14" s="7" t="s">
        <v>144</v>
      </c>
      <c r="G14" s="7" t="s">
        <v>145</v>
      </c>
      <c r="H14" s="7" t="s">
        <v>137</v>
      </c>
      <c r="I14" s="7" t="s">
        <v>146</v>
      </c>
      <c r="J14" s="7" t="s">
        <v>117</v>
      </c>
      <c r="K14" s="7" t="s">
        <v>129</v>
      </c>
      <c r="L14" s="7" t="s">
        <v>38</v>
      </c>
      <c r="M14" s="7" t="s">
        <v>39</v>
      </c>
      <c r="N14" s="7" t="s">
        <v>147</v>
      </c>
      <c r="O14" s="7" t="s">
        <v>148</v>
      </c>
    </row>
    <row r="15" customFormat="false" ht="23.85" hidden="false" customHeight="false" outlineLevel="0" collapsed="false">
      <c r="A15" s="7" t="n">
        <v>2</v>
      </c>
      <c r="B15" s="7" t="s">
        <v>113</v>
      </c>
      <c r="C15" s="7" t="s">
        <v>149</v>
      </c>
      <c r="D15" s="7" t="s">
        <v>150</v>
      </c>
      <c r="E15" s="7" t="s">
        <v>143</v>
      </c>
      <c r="F15" s="7" t="s">
        <v>144</v>
      </c>
      <c r="G15" s="7" t="s">
        <v>151</v>
      </c>
      <c r="H15" s="7" t="s">
        <v>137</v>
      </c>
      <c r="I15" s="7" t="s">
        <v>152</v>
      </c>
      <c r="J15" s="7" t="s">
        <v>117</v>
      </c>
      <c r="K15" s="7" t="s">
        <v>153</v>
      </c>
      <c r="L15" s="7" t="s">
        <v>38</v>
      </c>
      <c r="M15" s="7" t="s">
        <v>39</v>
      </c>
      <c r="N15" s="7" t="s">
        <v>154</v>
      </c>
      <c r="O15" s="7" t="s">
        <v>155</v>
      </c>
    </row>
    <row r="16" customFormat="false" ht="23.85" hidden="false" customHeight="false" outlineLevel="0" collapsed="false">
      <c r="A16" s="7" t="n">
        <v>2</v>
      </c>
      <c r="B16" s="7" t="s">
        <v>113</v>
      </c>
      <c r="C16" s="7" t="s">
        <v>156</v>
      </c>
      <c r="D16" s="7" t="s">
        <v>157</v>
      </c>
      <c r="E16" s="7" t="s">
        <v>158</v>
      </c>
      <c r="F16" s="7" t="s">
        <v>159</v>
      </c>
      <c r="G16" s="7" t="s">
        <v>160</v>
      </c>
      <c r="H16" s="7" t="s">
        <v>161</v>
      </c>
      <c r="I16" s="7" t="s">
        <v>162</v>
      </c>
      <c r="J16" s="7" t="s">
        <v>117</v>
      </c>
      <c r="K16" s="7" t="s">
        <v>163</v>
      </c>
      <c r="L16" s="7" t="s">
        <v>80</v>
      </c>
      <c r="M16" s="7" t="s">
        <v>164</v>
      </c>
      <c r="N16" s="7" t="s">
        <v>165</v>
      </c>
      <c r="O16" s="7" t="s">
        <v>166</v>
      </c>
    </row>
    <row r="17" customFormat="false" ht="23.85" hidden="false" customHeight="false" outlineLevel="0" collapsed="false">
      <c r="A17" s="7" t="n">
        <v>2</v>
      </c>
      <c r="B17" s="7" t="s">
        <v>113</v>
      </c>
      <c r="C17" s="7" t="s">
        <v>167</v>
      </c>
      <c r="D17" s="7" t="s">
        <v>168</v>
      </c>
      <c r="E17" s="7" t="s">
        <v>169</v>
      </c>
      <c r="F17" s="7" t="s">
        <v>170</v>
      </c>
      <c r="G17" s="7" t="s">
        <v>171</v>
      </c>
      <c r="H17" s="7" t="s">
        <v>47</v>
      </c>
      <c r="I17" s="7" t="s">
        <v>99</v>
      </c>
      <c r="J17" s="7" t="s">
        <v>117</v>
      </c>
      <c r="K17" s="7" t="s">
        <v>172</v>
      </c>
      <c r="L17" s="7" t="s">
        <v>38</v>
      </c>
      <c r="M17" s="7" t="s">
        <v>164</v>
      </c>
      <c r="N17" s="7" t="s">
        <v>173</v>
      </c>
      <c r="O17" s="7" t="s">
        <v>174</v>
      </c>
    </row>
    <row r="18" customFormat="false" ht="23.85" hidden="false" customHeight="false" outlineLevel="0" collapsed="false">
      <c r="A18" s="7" t="n">
        <v>2</v>
      </c>
      <c r="B18" s="7" t="s">
        <v>113</v>
      </c>
      <c r="C18" s="7" t="s">
        <v>175</v>
      </c>
      <c r="D18" s="7" t="s">
        <v>176</v>
      </c>
      <c r="E18" s="7" t="s">
        <v>177</v>
      </c>
      <c r="F18" s="7" t="s">
        <v>178</v>
      </c>
      <c r="G18" s="7" t="s">
        <v>179</v>
      </c>
      <c r="H18" s="7" t="s">
        <v>137</v>
      </c>
      <c r="I18" s="7" t="s">
        <v>180</v>
      </c>
      <c r="J18" s="7" t="s">
        <v>117</v>
      </c>
      <c r="K18" s="7" t="s">
        <v>181</v>
      </c>
      <c r="L18" s="7" t="s">
        <v>182</v>
      </c>
      <c r="M18" s="7" t="s">
        <v>164</v>
      </c>
      <c r="N18" s="7" t="s">
        <v>183</v>
      </c>
      <c r="O18" s="7" t="s">
        <v>184</v>
      </c>
    </row>
    <row r="19" customFormat="false" ht="23.85" hidden="false" customHeight="false" outlineLevel="0" collapsed="false">
      <c r="A19" s="7" t="n">
        <v>2</v>
      </c>
      <c r="B19" s="7" t="s">
        <v>113</v>
      </c>
      <c r="C19" s="7" t="s">
        <v>185</v>
      </c>
      <c r="D19" s="7" t="s">
        <v>186</v>
      </c>
      <c r="E19" s="7" t="s">
        <v>187</v>
      </c>
      <c r="F19" s="7" t="s">
        <v>188</v>
      </c>
      <c r="G19" s="7" t="s">
        <v>189</v>
      </c>
      <c r="H19" s="7" t="s">
        <v>47</v>
      </c>
      <c r="I19" s="7" t="s">
        <v>190</v>
      </c>
      <c r="J19" s="7" t="s">
        <v>117</v>
      </c>
      <c r="K19" s="7" t="s">
        <v>129</v>
      </c>
      <c r="L19" s="7" t="s">
        <v>80</v>
      </c>
      <c r="M19" s="7" t="s">
        <v>164</v>
      </c>
      <c r="N19" s="7" t="s">
        <v>191</v>
      </c>
      <c r="O19" s="7" t="s">
        <v>192</v>
      </c>
    </row>
    <row r="20" customFormat="false" ht="35.05" hidden="false" customHeight="false" outlineLevel="0" collapsed="false">
      <c r="A20" s="7" t="n">
        <v>2</v>
      </c>
      <c r="B20" s="7" t="s">
        <v>113</v>
      </c>
      <c r="C20" s="7" t="s">
        <v>193</v>
      </c>
      <c r="D20" s="7" t="s">
        <v>194</v>
      </c>
      <c r="E20" s="7" t="s">
        <v>195</v>
      </c>
      <c r="F20" s="7" t="s">
        <v>196</v>
      </c>
      <c r="G20" s="7" t="s">
        <v>197</v>
      </c>
      <c r="H20" s="7" t="s">
        <v>34</v>
      </c>
      <c r="I20" s="7" t="s">
        <v>198</v>
      </c>
      <c r="J20" s="7" t="s">
        <v>117</v>
      </c>
      <c r="K20" s="7" t="s">
        <v>129</v>
      </c>
      <c r="L20" s="7" t="s">
        <v>38</v>
      </c>
      <c r="M20" s="7" t="s">
        <v>39</v>
      </c>
      <c r="N20" s="7" t="s">
        <v>199</v>
      </c>
      <c r="O20" s="7" t="s">
        <v>200</v>
      </c>
    </row>
    <row r="21" customFormat="false" ht="23.85" hidden="false" customHeight="false" outlineLevel="0" collapsed="false">
      <c r="A21" s="7" t="n">
        <v>3</v>
      </c>
      <c r="B21" s="7" t="s">
        <v>201</v>
      </c>
      <c r="C21" s="7" t="s">
        <v>202</v>
      </c>
      <c r="D21" s="7" t="s">
        <v>203</v>
      </c>
      <c r="E21" s="7" t="s">
        <v>204</v>
      </c>
      <c r="F21" s="7" t="s">
        <v>205</v>
      </c>
      <c r="G21" s="7" t="s">
        <v>206</v>
      </c>
      <c r="H21" s="7" t="s">
        <v>34</v>
      </c>
      <c r="I21" s="7" t="s">
        <v>207</v>
      </c>
      <c r="J21" s="7" t="s">
        <v>208</v>
      </c>
      <c r="K21" s="7" t="s">
        <v>209</v>
      </c>
      <c r="L21" s="7" t="s">
        <v>38</v>
      </c>
      <c r="M21" s="7" t="s">
        <v>39</v>
      </c>
      <c r="N21" s="7" t="s">
        <v>210</v>
      </c>
      <c r="O21" s="7" t="s">
        <v>211</v>
      </c>
    </row>
    <row r="22" customFormat="false" ht="23.85" hidden="false" customHeight="false" outlineLevel="0" collapsed="false">
      <c r="A22" s="7" t="n">
        <v>3</v>
      </c>
      <c r="B22" s="7" t="s">
        <v>201</v>
      </c>
      <c r="C22" s="7" t="s">
        <v>212</v>
      </c>
      <c r="D22" s="7" t="s">
        <v>213</v>
      </c>
      <c r="E22" s="7" t="s">
        <v>214</v>
      </c>
      <c r="F22" s="7" t="s">
        <v>215</v>
      </c>
      <c r="G22" s="7" t="s">
        <v>216</v>
      </c>
      <c r="H22" s="7" t="s">
        <v>34</v>
      </c>
      <c r="I22" s="7" t="s">
        <v>217</v>
      </c>
      <c r="J22" s="7" t="s">
        <v>208</v>
      </c>
      <c r="K22" s="7" t="s">
        <v>218</v>
      </c>
      <c r="L22" s="7" t="s">
        <v>38</v>
      </c>
      <c r="M22" s="7" t="s">
        <v>164</v>
      </c>
      <c r="N22" s="7" t="s">
        <v>219</v>
      </c>
      <c r="O22" s="7" t="s">
        <v>220</v>
      </c>
    </row>
    <row r="23" customFormat="false" ht="35.05" hidden="false" customHeight="false" outlineLevel="0" collapsed="false">
      <c r="A23" s="7" t="n">
        <v>3</v>
      </c>
      <c r="B23" s="7" t="s">
        <v>201</v>
      </c>
      <c r="C23" s="7" t="s">
        <v>221</v>
      </c>
      <c r="D23" s="7" t="s">
        <v>53</v>
      </c>
      <c r="E23" s="7" t="s">
        <v>222</v>
      </c>
      <c r="F23" s="7" t="s">
        <v>223</v>
      </c>
      <c r="G23" s="7" t="s">
        <v>224</v>
      </c>
      <c r="H23" s="7" t="s">
        <v>57</v>
      </c>
      <c r="I23" s="7" t="s">
        <v>116</v>
      </c>
      <c r="J23" s="7" t="s">
        <v>208</v>
      </c>
      <c r="K23" s="7" t="s">
        <v>59</v>
      </c>
      <c r="L23" s="7" t="s">
        <v>38</v>
      </c>
      <c r="M23" s="7" t="s">
        <v>39</v>
      </c>
      <c r="N23" s="7" t="s">
        <v>225</v>
      </c>
      <c r="O23" s="7" t="s">
        <v>226</v>
      </c>
    </row>
    <row r="24" customFormat="false" ht="23.85" hidden="false" customHeight="false" outlineLevel="0" collapsed="false">
      <c r="A24" s="7" t="n">
        <v>3</v>
      </c>
      <c r="B24" s="7" t="s">
        <v>201</v>
      </c>
      <c r="C24" s="7" t="s">
        <v>227</v>
      </c>
      <c r="D24" s="7" t="s">
        <v>228</v>
      </c>
      <c r="E24" s="7" t="s">
        <v>229</v>
      </c>
      <c r="F24" s="7" t="s">
        <v>230</v>
      </c>
      <c r="G24" s="7" t="s">
        <v>231</v>
      </c>
      <c r="H24" s="7" t="s">
        <v>57</v>
      </c>
      <c r="I24" s="7" t="s">
        <v>232</v>
      </c>
      <c r="J24" s="7" t="s">
        <v>208</v>
      </c>
      <c r="K24" s="7" t="s">
        <v>233</v>
      </c>
      <c r="L24" s="7" t="s">
        <v>38</v>
      </c>
      <c r="M24" s="7" t="s">
        <v>164</v>
      </c>
      <c r="N24" s="7" t="s">
        <v>234</v>
      </c>
      <c r="O24" s="7" t="s">
        <v>235</v>
      </c>
    </row>
    <row r="25" customFormat="false" ht="23.85" hidden="false" customHeight="false" outlineLevel="0" collapsed="false">
      <c r="A25" s="7" t="n">
        <v>3</v>
      </c>
      <c r="B25" s="7" t="s">
        <v>201</v>
      </c>
      <c r="C25" s="7" t="s">
        <v>236</v>
      </c>
      <c r="D25" s="7" t="s">
        <v>237</v>
      </c>
      <c r="E25" s="7" t="s">
        <v>238</v>
      </c>
      <c r="F25" s="7" t="s">
        <v>239</v>
      </c>
      <c r="G25" s="7" t="s">
        <v>240</v>
      </c>
      <c r="H25" s="7" t="s">
        <v>57</v>
      </c>
      <c r="I25" s="7" t="s">
        <v>241</v>
      </c>
      <c r="J25" s="7" t="s">
        <v>208</v>
      </c>
      <c r="K25" s="7" t="s">
        <v>242</v>
      </c>
      <c r="L25" s="7" t="s">
        <v>38</v>
      </c>
      <c r="M25" s="7" t="s">
        <v>164</v>
      </c>
      <c r="N25" s="7" t="s">
        <v>243</v>
      </c>
      <c r="O25" s="7" t="s">
        <v>244</v>
      </c>
    </row>
    <row r="26" customFormat="false" ht="23.85" hidden="false" customHeight="false" outlineLevel="0" collapsed="false">
      <c r="A26" s="7" t="n">
        <v>3</v>
      </c>
      <c r="B26" s="7" t="s">
        <v>201</v>
      </c>
      <c r="C26" s="7" t="s">
        <v>245</v>
      </c>
      <c r="D26" s="7" t="s">
        <v>246</v>
      </c>
      <c r="E26" s="7" t="s">
        <v>247</v>
      </c>
      <c r="F26" s="7" t="s">
        <v>248</v>
      </c>
      <c r="G26" s="7" t="s">
        <v>249</v>
      </c>
      <c r="H26" s="7" t="s">
        <v>34</v>
      </c>
      <c r="I26" s="7" t="s">
        <v>207</v>
      </c>
      <c r="J26" s="7" t="s">
        <v>208</v>
      </c>
      <c r="K26" s="7" t="s">
        <v>209</v>
      </c>
      <c r="L26" s="7" t="s">
        <v>38</v>
      </c>
      <c r="M26" s="7" t="s">
        <v>164</v>
      </c>
      <c r="N26" s="7" t="s">
        <v>250</v>
      </c>
      <c r="O26" s="7" t="s">
        <v>251</v>
      </c>
    </row>
    <row r="27" customFormat="false" ht="23.85" hidden="false" customHeight="false" outlineLevel="0" collapsed="false">
      <c r="A27" s="7" t="n">
        <v>3</v>
      </c>
      <c r="B27" s="7" t="s">
        <v>201</v>
      </c>
      <c r="C27" s="7" t="s">
        <v>252</v>
      </c>
      <c r="D27" s="7" t="s">
        <v>253</v>
      </c>
      <c r="E27" s="7" t="s">
        <v>254</v>
      </c>
      <c r="F27" s="7" t="s">
        <v>255</v>
      </c>
      <c r="G27" s="7" t="s">
        <v>256</v>
      </c>
      <c r="H27" s="7" t="s">
        <v>108</v>
      </c>
      <c r="I27" s="7" t="s">
        <v>257</v>
      </c>
      <c r="J27" s="7" t="s">
        <v>208</v>
      </c>
      <c r="K27" s="7" t="s">
        <v>59</v>
      </c>
      <c r="L27" s="7" t="s">
        <v>38</v>
      </c>
      <c r="M27" s="7" t="s">
        <v>39</v>
      </c>
      <c r="N27" s="7" t="s">
        <v>258</v>
      </c>
      <c r="O27" s="7" t="s">
        <v>259</v>
      </c>
    </row>
    <row r="28" customFormat="false" ht="35.05" hidden="false" customHeight="false" outlineLevel="0" collapsed="false">
      <c r="A28" s="7" t="n">
        <v>3</v>
      </c>
      <c r="B28" s="7" t="s">
        <v>201</v>
      </c>
      <c r="C28" s="7" t="s">
        <v>260</v>
      </c>
      <c r="D28" s="7" t="s">
        <v>261</v>
      </c>
      <c r="E28" s="7" t="s">
        <v>262</v>
      </c>
      <c r="F28" s="7" t="s">
        <v>263</v>
      </c>
      <c r="G28" s="7" t="s">
        <v>264</v>
      </c>
      <c r="H28" s="7" t="s">
        <v>34</v>
      </c>
      <c r="I28" s="7" t="s">
        <v>265</v>
      </c>
      <c r="J28" s="7" t="s">
        <v>208</v>
      </c>
      <c r="K28" s="7" t="s">
        <v>266</v>
      </c>
      <c r="L28" s="7" t="s">
        <v>38</v>
      </c>
      <c r="M28" s="7" t="s">
        <v>164</v>
      </c>
      <c r="N28" s="7" t="s">
        <v>267</v>
      </c>
      <c r="O28" s="7" t="s">
        <v>268</v>
      </c>
    </row>
    <row r="29" customFormat="false" ht="23.85" hidden="false" customHeight="false" outlineLevel="0" collapsed="false">
      <c r="A29" s="7" t="n">
        <v>3</v>
      </c>
      <c r="B29" s="7" t="s">
        <v>201</v>
      </c>
      <c r="C29" s="7" t="s">
        <v>269</v>
      </c>
      <c r="D29" s="7" t="s">
        <v>270</v>
      </c>
      <c r="E29" s="7" t="s">
        <v>271</v>
      </c>
      <c r="F29" s="7" t="s">
        <v>272</v>
      </c>
      <c r="G29" s="7" t="s">
        <v>273</v>
      </c>
      <c r="H29" s="7" t="s">
        <v>34</v>
      </c>
      <c r="I29" s="7" t="s">
        <v>274</v>
      </c>
      <c r="J29" s="7" t="s">
        <v>208</v>
      </c>
      <c r="K29" s="7" t="s">
        <v>218</v>
      </c>
      <c r="L29" s="7" t="s">
        <v>38</v>
      </c>
      <c r="M29" s="7" t="s">
        <v>39</v>
      </c>
      <c r="N29" s="7" t="s">
        <v>275</v>
      </c>
      <c r="O29" s="7" t="s">
        <v>276</v>
      </c>
    </row>
    <row r="30" customFormat="false" ht="46.25" hidden="false" customHeight="false" outlineLevel="0" collapsed="false">
      <c r="A30" s="7" t="n">
        <v>3</v>
      </c>
      <c r="B30" s="7" t="s">
        <v>201</v>
      </c>
      <c r="C30" s="7" t="s">
        <v>277</v>
      </c>
      <c r="D30" s="7" t="s">
        <v>278</v>
      </c>
      <c r="E30" s="7" t="s">
        <v>279</v>
      </c>
      <c r="F30" s="7" t="s">
        <v>280</v>
      </c>
      <c r="G30" s="7" t="s">
        <v>281</v>
      </c>
      <c r="H30" s="7" t="s">
        <v>282</v>
      </c>
      <c r="I30" s="7" t="s">
        <v>283</v>
      </c>
      <c r="J30" s="7" t="s">
        <v>208</v>
      </c>
      <c r="K30" s="7" t="s">
        <v>284</v>
      </c>
      <c r="L30" s="7" t="s">
        <v>38</v>
      </c>
      <c r="M30" s="7" t="s">
        <v>39</v>
      </c>
      <c r="N30" s="7" t="s">
        <v>285</v>
      </c>
      <c r="O30" s="7" t="s">
        <v>286</v>
      </c>
    </row>
    <row r="31" customFormat="false" ht="23.85" hidden="false" customHeight="false" outlineLevel="0" collapsed="false">
      <c r="A31" s="7" t="n">
        <v>4</v>
      </c>
      <c r="B31" s="7" t="s">
        <v>67</v>
      </c>
      <c r="C31" s="7" t="s">
        <v>287</v>
      </c>
      <c r="D31" s="7" t="s">
        <v>288</v>
      </c>
      <c r="E31" s="7" t="s">
        <v>289</v>
      </c>
      <c r="F31" s="7" t="s">
        <v>290</v>
      </c>
      <c r="G31" s="7" t="s">
        <v>291</v>
      </c>
      <c r="H31" s="7" t="s">
        <v>67</v>
      </c>
      <c r="I31" s="7" t="s">
        <v>116</v>
      </c>
      <c r="J31" s="7" t="s">
        <v>292</v>
      </c>
      <c r="K31" s="7" t="s">
        <v>293</v>
      </c>
      <c r="L31" s="7" t="s">
        <v>38</v>
      </c>
      <c r="M31" s="7" t="s">
        <v>39</v>
      </c>
      <c r="N31" s="7" t="s">
        <v>294</v>
      </c>
      <c r="O31" s="7" t="s">
        <v>295</v>
      </c>
    </row>
    <row r="32" customFormat="false" ht="23.85" hidden="false" customHeight="false" outlineLevel="0" collapsed="false">
      <c r="A32" s="7" t="n">
        <v>4</v>
      </c>
      <c r="B32" s="7" t="s">
        <v>67</v>
      </c>
      <c r="C32" s="7" t="s">
        <v>296</v>
      </c>
      <c r="D32" s="7" t="s">
        <v>297</v>
      </c>
      <c r="E32" s="7" t="s">
        <v>298</v>
      </c>
      <c r="F32" s="7" t="s">
        <v>299</v>
      </c>
      <c r="G32" s="7" t="s">
        <v>300</v>
      </c>
      <c r="H32" s="7" t="s">
        <v>67</v>
      </c>
      <c r="I32" s="7" t="s">
        <v>138</v>
      </c>
      <c r="J32" s="7" t="s">
        <v>292</v>
      </c>
      <c r="K32" s="7" t="s">
        <v>301</v>
      </c>
      <c r="L32" s="7" t="s">
        <v>38</v>
      </c>
      <c r="M32" s="7" t="s">
        <v>164</v>
      </c>
      <c r="N32" s="7" t="s">
        <v>302</v>
      </c>
      <c r="O32" s="7" t="s">
        <v>303</v>
      </c>
    </row>
    <row r="33" customFormat="false" ht="57.45" hidden="false" customHeight="false" outlineLevel="0" collapsed="false">
      <c r="A33" s="7" t="n">
        <v>4</v>
      </c>
      <c r="B33" s="7" t="s">
        <v>67</v>
      </c>
      <c r="C33" s="7" t="s">
        <v>304</v>
      </c>
      <c r="D33" s="7" t="s">
        <v>305</v>
      </c>
      <c r="E33" s="7" t="s">
        <v>306</v>
      </c>
      <c r="F33" s="7" t="s">
        <v>307</v>
      </c>
      <c r="G33" s="7" t="s">
        <v>308</v>
      </c>
      <c r="H33" s="7" t="s">
        <v>67</v>
      </c>
      <c r="I33" s="7" t="s">
        <v>309</v>
      </c>
      <c r="J33" s="7" t="s">
        <v>292</v>
      </c>
      <c r="K33" s="7" t="s">
        <v>310</v>
      </c>
      <c r="L33" s="7" t="s">
        <v>80</v>
      </c>
      <c r="M33" s="7" t="s">
        <v>39</v>
      </c>
      <c r="N33" s="7" t="s">
        <v>311</v>
      </c>
      <c r="O33" s="7" t="s">
        <v>312</v>
      </c>
    </row>
    <row r="34" customFormat="false" ht="23.85" hidden="false" customHeight="false" outlineLevel="0" collapsed="false">
      <c r="A34" s="7" t="n">
        <v>4</v>
      </c>
      <c r="B34" s="7" t="s">
        <v>67</v>
      </c>
      <c r="C34" s="7" t="s">
        <v>313</v>
      </c>
      <c r="D34" s="7" t="s">
        <v>314</v>
      </c>
      <c r="E34" s="7" t="s">
        <v>315</v>
      </c>
      <c r="F34" s="7" t="s">
        <v>316</v>
      </c>
      <c r="G34" s="7" t="s">
        <v>317</v>
      </c>
      <c r="H34" s="7" t="s">
        <v>67</v>
      </c>
      <c r="I34" s="7" t="s">
        <v>318</v>
      </c>
      <c r="J34" s="7" t="s">
        <v>292</v>
      </c>
      <c r="K34" s="7" t="s">
        <v>319</v>
      </c>
      <c r="L34" s="7" t="s">
        <v>38</v>
      </c>
      <c r="M34" s="7" t="s">
        <v>39</v>
      </c>
      <c r="N34" s="7" t="s">
        <v>320</v>
      </c>
      <c r="O34" s="7" t="s">
        <v>321</v>
      </c>
    </row>
    <row r="35" customFormat="false" ht="35.05" hidden="false" customHeight="false" outlineLevel="0" collapsed="false">
      <c r="A35" s="7" t="n">
        <v>4</v>
      </c>
      <c r="B35" s="7" t="s">
        <v>67</v>
      </c>
      <c r="C35" s="7" t="s">
        <v>322</v>
      </c>
      <c r="D35" s="7" t="s">
        <v>323</v>
      </c>
      <c r="E35" s="7" t="s">
        <v>324</v>
      </c>
      <c r="F35" s="7" t="s">
        <v>325</v>
      </c>
      <c r="G35" s="7" t="s">
        <v>326</v>
      </c>
      <c r="H35" s="7" t="s">
        <v>67</v>
      </c>
      <c r="I35" s="7" t="s">
        <v>327</v>
      </c>
      <c r="J35" s="7" t="s">
        <v>292</v>
      </c>
      <c r="K35" s="7" t="s">
        <v>328</v>
      </c>
      <c r="L35" s="7" t="s">
        <v>38</v>
      </c>
      <c r="M35" s="7" t="s">
        <v>164</v>
      </c>
      <c r="N35" s="7" t="s">
        <v>329</v>
      </c>
      <c r="O35" s="7" t="s">
        <v>330</v>
      </c>
    </row>
    <row r="36" customFormat="false" ht="23.85" hidden="false" customHeight="false" outlineLevel="0" collapsed="false">
      <c r="A36" s="7" t="n">
        <v>4</v>
      </c>
      <c r="B36" s="7" t="s">
        <v>67</v>
      </c>
      <c r="C36" s="7" t="s">
        <v>331</v>
      </c>
      <c r="D36" s="7" t="s">
        <v>332</v>
      </c>
      <c r="E36" s="7" t="s">
        <v>333</v>
      </c>
      <c r="F36" s="7" t="s">
        <v>334</v>
      </c>
      <c r="G36" s="7" t="s">
        <v>335</v>
      </c>
      <c r="H36" s="7" t="s">
        <v>67</v>
      </c>
      <c r="I36" s="7" t="s">
        <v>318</v>
      </c>
      <c r="J36" s="7" t="s">
        <v>292</v>
      </c>
      <c r="K36" s="7" t="s">
        <v>319</v>
      </c>
      <c r="L36" s="7" t="s">
        <v>38</v>
      </c>
      <c r="M36" s="7" t="s">
        <v>164</v>
      </c>
      <c r="N36" s="7" t="s">
        <v>336</v>
      </c>
      <c r="O36" s="7" t="s">
        <v>337</v>
      </c>
    </row>
    <row r="37" customFormat="false" ht="23.85" hidden="false" customHeight="false" outlineLevel="0" collapsed="false">
      <c r="A37" s="7" t="n">
        <v>5</v>
      </c>
      <c r="B37" s="7" t="s">
        <v>338</v>
      </c>
      <c r="C37" s="7" t="s">
        <v>339</v>
      </c>
      <c r="D37" s="7" t="s">
        <v>340</v>
      </c>
      <c r="E37" s="7" t="s">
        <v>341</v>
      </c>
      <c r="F37" s="7" t="s">
        <v>342</v>
      </c>
      <c r="G37" s="7" t="s">
        <v>343</v>
      </c>
      <c r="H37" s="7" t="s">
        <v>77</v>
      </c>
      <c r="I37" s="7" t="s">
        <v>138</v>
      </c>
      <c r="J37" s="7" t="s">
        <v>344</v>
      </c>
      <c r="K37" s="7" t="s">
        <v>79</v>
      </c>
      <c r="L37" s="7" t="s">
        <v>38</v>
      </c>
      <c r="M37" s="7" t="s">
        <v>39</v>
      </c>
      <c r="N37" s="7" t="s">
        <v>345</v>
      </c>
      <c r="O37" s="7" t="s">
        <v>346</v>
      </c>
    </row>
    <row r="38" customFormat="false" ht="23.85" hidden="false" customHeight="false" outlineLevel="0" collapsed="false">
      <c r="A38" s="7" t="n">
        <v>5</v>
      </c>
      <c r="B38" s="7" t="s">
        <v>338</v>
      </c>
      <c r="C38" s="7" t="s">
        <v>347</v>
      </c>
      <c r="D38" s="7" t="s">
        <v>348</v>
      </c>
      <c r="E38" s="7" t="s">
        <v>349</v>
      </c>
      <c r="F38" s="7" t="s">
        <v>350</v>
      </c>
      <c r="G38" s="7" t="s">
        <v>351</v>
      </c>
      <c r="H38" s="7" t="s">
        <v>77</v>
      </c>
      <c r="I38" s="7" t="s">
        <v>318</v>
      </c>
      <c r="J38" s="7" t="s">
        <v>344</v>
      </c>
      <c r="K38" s="7" t="s">
        <v>352</v>
      </c>
      <c r="L38" s="7" t="s">
        <v>38</v>
      </c>
      <c r="M38" s="7" t="s">
        <v>39</v>
      </c>
      <c r="N38" s="7" t="s">
        <v>353</v>
      </c>
      <c r="O38" s="7" t="s">
        <v>354</v>
      </c>
    </row>
    <row r="39" customFormat="false" ht="23.85" hidden="false" customHeight="false" outlineLevel="0" collapsed="false">
      <c r="A39" s="7" t="n">
        <v>5</v>
      </c>
      <c r="B39" s="7" t="s">
        <v>338</v>
      </c>
      <c r="C39" s="7" t="s">
        <v>355</v>
      </c>
      <c r="D39" s="7" t="s">
        <v>356</v>
      </c>
      <c r="E39" s="7" t="s">
        <v>357</v>
      </c>
      <c r="F39" s="7" t="s">
        <v>358</v>
      </c>
      <c r="G39" s="7" t="s">
        <v>359</v>
      </c>
      <c r="H39" s="7" t="s">
        <v>77</v>
      </c>
      <c r="I39" s="7" t="s">
        <v>318</v>
      </c>
      <c r="J39" s="7" t="s">
        <v>344</v>
      </c>
      <c r="K39" s="7" t="s">
        <v>360</v>
      </c>
      <c r="L39" s="7" t="s">
        <v>38</v>
      </c>
      <c r="M39" s="7" t="s">
        <v>164</v>
      </c>
      <c r="N39" s="7" t="s">
        <v>361</v>
      </c>
      <c r="O39" s="7" t="s">
        <v>362</v>
      </c>
    </row>
    <row r="40" customFormat="false" ht="23.85" hidden="false" customHeight="false" outlineLevel="0" collapsed="false">
      <c r="A40" s="7" t="n">
        <v>5</v>
      </c>
      <c r="B40" s="7" t="s">
        <v>338</v>
      </c>
      <c r="C40" s="7" t="s">
        <v>363</v>
      </c>
      <c r="D40" s="7" t="s">
        <v>364</v>
      </c>
      <c r="E40" s="7" t="s">
        <v>365</v>
      </c>
      <c r="F40" s="7" t="s">
        <v>366</v>
      </c>
      <c r="G40" s="7" t="s">
        <v>367</v>
      </c>
      <c r="H40" s="7" t="s">
        <v>77</v>
      </c>
      <c r="I40" s="7" t="s">
        <v>368</v>
      </c>
      <c r="J40" s="7" t="s">
        <v>344</v>
      </c>
      <c r="K40" s="7" t="s">
        <v>328</v>
      </c>
      <c r="L40" s="7" t="s">
        <v>38</v>
      </c>
      <c r="M40" s="7" t="s">
        <v>164</v>
      </c>
      <c r="N40" s="7" t="s">
        <v>369</v>
      </c>
      <c r="O40" s="7" t="s">
        <v>370</v>
      </c>
    </row>
    <row r="41" customFormat="false" ht="23.85" hidden="false" customHeight="false" outlineLevel="0" collapsed="false">
      <c r="A41" s="7" t="n">
        <v>5</v>
      </c>
      <c r="B41" s="7" t="s">
        <v>338</v>
      </c>
      <c r="C41" s="7" t="s">
        <v>371</v>
      </c>
      <c r="D41" s="7" t="s">
        <v>270</v>
      </c>
      <c r="E41" s="7" t="s">
        <v>341</v>
      </c>
      <c r="F41" s="7" t="s">
        <v>342</v>
      </c>
      <c r="G41" s="7" t="s">
        <v>343</v>
      </c>
      <c r="H41" s="7" t="s">
        <v>77</v>
      </c>
      <c r="I41" s="7" t="s">
        <v>274</v>
      </c>
      <c r="J41" s="7" t="s">
        <v>344</v>
      </c>
      <c r="K41" s="7" t="s">
        <v>79</v>
      </c>
      <c r="L41" s="7" t="s">
        <v>38</v>
      </c>
      <c r="M41" s="7" t="s">
        <v>39</v>
      </c>
      <c r="N41" s="7" t="s">
        <v>372</v>
      </c>
      <c r="O41" s="7" t="s">
        <v>373</v>
      </c>
    </row>
    <row r="42" customFormat="false" ht="23.85" hidden="false" customHeight="false" outlineLevel="0" collapsed="false">
      <c r="A42" s="7" t="n">
        <v>5</v>
      </c>
      <c r="B42" s="7" t="s">
        <v>338</v>
      </c>
      <c r="C42" s="7" t="s">
        <v>374</v>
      </c>
      <c r="D42" s="7" t="s">
        <v>375</v>
      </c>
      <c r="E42" s="7" t="s">
        <v>376</v>
      </c>
      <c r="F42" s="7" t="s">
        <v>377</v>
      </c>
      <c r="G42" s="7" t="s">
        <v>378</v>
      </c>
      <c r="H42" s="7" t="s">
        <v>77</v>
      </c>
      <c r="I42" s="7" t="s">
        <v>379</v>
      </c>
      <c r="J42" s="7" t="s">
        <v>344</v>
      </c>
      <c r="K42" s="7" t="s">
        <v>380</v>
      </c>
      <c r="L42" s="7" t="s">
        <v>38</v>
      </c>
      <c r="M42" s="7" t="s">
        <v>164</v>
      </c>
      <c r="N42" s="7" t="s">
        <v>381</v>
      </c>
      <c r="O42" s="7" t="s">
        <v>382</v>
      </c>
    </row>
    <row r="43" customFormat="false" ht="23.85" hidden="false" customHeight="false" outlineLevel="0" collapsed="false">
      <c r="A43" s="7" t="n">
        <v>5</v>
      </c>
      <c r="B43" s="7" t="s">
        <v>338</v>
      </c>
      <c r="C43" s="7" t="s">
        <v>383</v>
      </c>
      <c r="D43" s="7" t="s">
        <v>384</v>
      </c>
      <c r="E43" s="7" t="s">
        <v>385</v>
      </c>
      <c r="F43" s="7" t="s">
        <v>386</v>
      </c>
      <c r="G43" s="7" t="s">
        <v>387</v>
      </c>
      <c r="H43" s="7" t="s">
        <v>77</v>
      </c>
      <c r="I43" s="7" t="s">
        <v>388</v>
      </c>
      <c r="J43" s="7" t="s">
        <v>344</v>
      </c>
      <c r="K43" s="7" t="s">
        <v>389</v>
      </c>
      <c r="L43" s="7" t="s">
        <v>80</v>
      </c>
      <c r="M43" s="7" t="s">
        <v>39</v>
      </c>
      <c r="N43" s="7" t="s">
        <v>390</v>
      </c>
      <c r="O43" s="7" t="s">
        <v>391</v>
      </c>
    </row>
    <row r="44" customFormat="false" ht="23.85" hidden="false" customHeight="false" outlineLevel="0" collapsed="false">
      <c r="A44" s="7" t="n">
        <v>6</v>
      </c>
      <c r="B44" s="7" t="s">
        <v>88</v>
      </c>
      <c r="C44" s="7" t="s">
        <v>392</v>
      </c>
      <c r="D44" s="7" t="s">
        <v>393</v>
      </c>
      <c r="E44" s="7" t="s">
        <v>394</v>
      </c>
      <c r="F44" s="7" t="s">
        <v>395</v>
      </c>
      <c r="G44" s="7" t="s">
        <v>396</v>
      </c>
      <c r="H44" s="7" t="s">
        <v>88</v>
      </c>
      <c r="I44" s="7" t="s">
        <v>116</v>
      </c>
      <c r="J44" s="7" t="s">
        <v>397</v>
      </c>
      <c r="K44" s="7" t="s">
        <v>398</v>
      </c>
      <c r="L44" s="7" t="s">
        <v>38</v>
      </c>
      <c r="M44" s="7" t="s">
        <v>39</v>
      </c>
      <c r="N44" s="7" t="s">
        <v>399</v>
      </c>
      <c r="O44" s="7" t="s">
        <v>400</v>
      </c>
    </row>
    <row r="45" customFormat="false" ht="57.45" hidden="false" customHeight="false" outlineLevel="0" collapsed="false">
      <c r="A45" s="7" t="n">
        <v>6</v>
      </c>
      <c r="B45" s="7" t="s">
        <v>88</v>
      </c>
      <c r="C45" s="7" t="s">
        <v>401</v>
      </c>
      <c r="D45" s="7" t="s">
        <v>402</v>
      </c>
      <c r="E45" s="7" t="s">
        <v>403</v>
      </c>
      <c r="F45" s="7" t="s">
        <v>404</v>
      </c>
      <c r="G45" s="7" t="s">
        <v>405</v>
      </c>
      <c r="H45" s="7" t="s">
        <v>88</v>
      </c>
      <c r="I45" s="7" t="s">
        <v>406</v>
      </c>
      <c r="J45" s="7" t="s">
        <v>397</v>
      </c>
      <c r="K45" s="7" t="s">
        <v>407</v>
      </c>
      <c r="L45" s="7" t="s">
        <v>38</v>
      </c>
      <c r="M45" s="7" t="s">
        <v>39</v>
      </c>
      <c r="N45" s="7" t="s">
        <v>408</v>
      </c>
      <c r="O45" s="7" t="s">
        <v>409</v>
      </c>
    </row>
    <row r="46" customFormat="false" ht="23.85" hidden="false" customHeight="false" outlineLevel="0" collapsed="false">
      <c r="A46" s="7" t="n">
        <v>6</v>
      </c>
      <c r="B46" s="7" t="s">
        <v>88</v>
      </c>
      <c r="C46" s="7" t="s">
        <v>410</v>
      </c>
      <c r="D46" s="7" t="s">
        <v>411</v>
      </c>
      <c r="E46" s="7" t="s">
        <v>412</v>
      </c>
      <c r="F46" s="7" t="s">
        <v>413</v>
      </c>
      <c r="G46" s="7" t="s">
        <v>414</v>
      </c>
      <c r="H46" s="7" t="s">
        <v>88</v>
      </c>
      <c r="I46" s="7" t="s">
        <v>415</v>
      </c>
      <c r="J46" s="7" t="s">
        <v>397</v>
      </c>
      <c r="K46" s="7" t="s">
        <v>398</v>
      </c>
      <c r="L46" s="7" t="s">
        <v>38</v>
      </c>
      <c r="M46" s="7" t="s">
        <v>164</v>
      </c>
      <c r="N46" s="7" t="s">
        <v>416</v>
      </c>
      <c r="O46" s="7" t="s">
        <v>417</v>
      </c>
    </row>
    <row r="47" customFormat="false" ht="35.05" hidden="false" customHeight="false" outlineLevel="0" collapsed="false">
      <c r="A47" s="7" t="n">
        <v>6</v>
      </c>
      <c r="B47" s="7" t="s">
        <v>88</v>
      </c>
      <c r="C47" s="7" t="s">
        <v>418</v>
      </c>
      <c r="D47" s="7" t="s">
        <v>419</v>
      </c>
      <c r="E47" s="7" t="s">
        <v>420</v>
      </c>
      <c r="F47" s="7" t="s">
        <v>421</v>
      </c>
      <c r="G47" s="7" t="s">
        <v>422</v>
      </c>
      <c r="H47" s="7" t="s">
        <v>88</v>
      </c>
      <c r="I47" s="7" t="s">
        <v>423</v>
      </c>
      <c r="J47" s="7" t="s">
        <v>397</v>
      </c>
      <c r="K47" s="7" t="s">
        <v>398</v>
      </c>
      <c r="L47" s="7" t="s">
        <v>80</v>
      </c>
      <c r="M47" s="7" t="s">
        <v>39</v>
      </c>
      <c r="N47" s="7" t="s">
        <v>424</v>
      </c>
      <c r="O47" s="7" t="s">
        <v>425</v>
      </c>
    </row>
    <row r="48" customFormat="false" ht="23.85" hidden="false" customHeight="false" outlineLevel="0" collapsed="false">
      <c r="A48" s="7" t="n">
        <v>6</v>
      </c>
      <c r="B48" s="7" t="s">
        <v>88</v>
      </c>
      <c r="C48" s="7" t="s">
        <v>426</v>
      </c>
      <c r="D48" s="7" t="s">
        <v>427</v>
      </c>
      <c r="E48" s="7" t="s">
        <v>428</v>
      </c>
      <c r="F48" s="7" t="s">
        <v>429</v>
      </c>
      <c r="G48" s="7" t="s">
        <v>430</v>
      </c>
      <c r="H48" s="7" t="s">
        <v>88</v>
      </c>
      <c r="I48" s="7" t="s">
        <v>207</v>
      </c>
      <c r="J48" s="7" t="s">
        <v>397</v>
      </c>
      <c r="K48" s="7" t="s">
        <v>398</v>
      </c>
      <c r="L48" s="7" t="s">
        <v>38</v>
      </c>
      <c r="M48" s="7" t="s">
        <v>164</v>
      </c>
      <c r="N48" s="7" t="s">
        <v>431</v>
      </c>
      <c r="O48" s="7" t="s">
        <v>432</v>
      </c>
    </row>
    <row r="49" customFormat="false" ht="23.85" hidden="false" customHeight="false" outlineLevel="0" collapsed="false">
      <c r="A49" s="7" t="n">
        <v>6</v>
      </c>
      <c r="B49" s="7" t="s">
        <v>88</v>
      </c>
      <c r="C49" s="7" t="s">
        <v>433</v>
      </c>
      <c r="D49" s="7" t="s">
        <v>434</v>
      </c>
      <c r="E49" s="7" t="s">
        <v>435</v>
      </c>
      <c r="F49" s="7" t="s">
        <v>436</v>
      </c>
      <c r="G49" s="7" t="s">
        <v>437</v>
      </c>
      <c r="H49" s="7" t="s">
        <v>88</v>
      </c>
      <c r="I49" s="7" t="s">
        <v>438</v>
      </c>
      <c r="J49" s="7" t="s">
        <v>397</v>
      </c>
      <c r="K49" s="7" t="s">
        <v>398</v>
      </c>
      <c r="L49" s="7" t="s">
        <v>38</v>
      </c>
      <c r="M49" s="7" t="s">
        <v>164</v>
      </c>
      <c r="N49" s="7" t="s">
        <v>439</v>
      </c>
      <c r="O49" s="7" t="s">
        <v>440</v>
      </c>
    </row>
    <row r="50" customFormat="false" ht="23.85" hidden="false" customHeight="false" outlineLevel="0" collapsed="false">
      <c r="A50" s="7" t="n">
        <v>6</v>
      </c>
      <c r="B50" s="7" t="s">
        <v>88</v>
      </c>
      <c r="C50" s="7" t="s">
        <v>441</v>
      </c>
      <c r="D50" s="7" t="s">
        <v>442</v>
      </c>
      <c r="E50" s="7" t="s">
        <v>443</v>
      </c>
      <c r="F50" s="7" t="s">
        <v>444</v>
      </c>
      <c r="G50" s="7" t="s">
        <v>445</v>
      </c>
      <c r="H50" s="7" t="s">
        <v>88</v>
      </c>
      <c r="I50" s="7" t="s">
        <v>318</v>
      </c>
      <c r="J50" s="7" t="s">
        <v>397</v>
      </c>
      <c r="K50" s="7" t="s">
        <v>446</v>
      </c>
      <c r="L50" s="7" t="s">
        <v>38</v>
      </c>
      <c r="M50" s="7" t="s">
        <v>39</v>
      </c>
      <c r="N50" s="7" t="s">
        <v>447</v>
      </c>
      <c r="O50" s="7" t="s">
        <v>354</v>
      </c>
    </row>
    <row r="51" customFormat="false" ht="23.85" hidden="false" customHeight="false" outlineLevel="0" collapsed="false">
      <c r="A51" s="7" t="n">
        <v>6</v>
      </c>
      <c r="B51" s="7" t="s">
        <v>88</v>
      </c>
      <c r="C51" s="7" t="s">
        <v>448</v>
      </c>
      <c r="D51" s="7" t="s">
        <v>449</v>
      </c>
      <c r="E51" s="7" t="s">
        <v>450</v>
      </c>
      <c r="F51" s="7" t="s">
        <v>451</v>
      </c>
      <c r="G51" s="7" t="s">
        <v>452</v>
      </c>
      <c r="H51" s="7" t="s">
        <v>88</v>
      </c>
      <c r="I51" s="7" t="s">
        <v>453</v>
      </c>
      <c r="J51" s="7" t="s">
        <v>397</v>
      </c>
      <c r="K51" s="7" t="s">
        <v>454</v>
      </c>
      <c r="L51" s="7" t="s">
        <v>38</v>
      </c>
      <c r="M51" s="7" t="s">
        <v>39</v>
      </c>
      <c r="N51" s="7" t="s">
        <v>455</v>
      </c>
      <c r="O51" s="7" t="s">
        <v>456</v>
      </c>
    </row>
    <row r="52" customFormat="false" ht="23.85" hidden="false" customHeight="false" outlineLevel="0" collapsed="false">
      <c r="A52" s="7" t="n">
        <v>7</v>
      </c>
      <c r="B52" s="7" t="s">
        <v>98</v>
      </c>
      <c r="C52" s="7" t="s">
        <v>457</v>
      </c>
      <c r="D52" s="7" t="s">
        <v>458</v>
      </c>
      <c r="E52" s="7" t="s">
        <v>459</v>
      </c>
      <c r="F52" s="7" t="s">
        <v>460</v>
      </c>
      <c r="G52" s="7" t="s">
        <v>461</v>
      </c>
      <c r="H52" s="7" t="s">
        <v>98</v>
      </c>
      <c r="I52" s="7" t="s">
        <v>116</v>
      </c>
      <c r="J52" s="7" t="s">
        <v>462</v>
      </c>
      <c r="K52" s="7" t="s">
        <v>100</v>
      </c>
      <c r="L52" s="7" t="s">
        <v>38</v>
      </c>
      <c r="M52" s="7" t="s">
        <v>39</v>
      </c>
      <c r="N52" s="7" t="s">
        <v>463</v>
      </c>
      <c r="O52" s="7" t="s">
        <v>464</v>
      </c>
    </row>
    <row r="53" customFormat="false" ht="23.85" hidden="false" customHeight="false" outlineLevel="0" collapsed="false">
      <c r="A53" s="7" t="n">
        <v>7</v>
      </c>
      <c r="B53" s="7" t="s">
        <v>98</v>
      </c>
      <c r="C53" s="7" t="s">
        <v>465</v>
      </c>
      <c r="D53" s="7" t="s">
        <v>466</v>
      </c>
      <c r="E53" s="7" t="s">
        <v>467</v>
      </c>
      <c r="F53" s="7" t="s">
        <v>468</v>
      </c>
      <c r="G53" s="7" t="s">
        <v>469</v>
      </c>
      <c r="H53" s="7" t="s">
        <v>98</v>
      </c>
      <c r="I53" s="7" t="s">
        <v>116</v>
      </c>
      <c r="J53" s="7" t="s">
        <v>462</v>
      </c>
      <c r="K53" s="7" t="s">
        <v>100</v>
      </c>
      <c r="L53" s="7" t="s">
        <v>38</v>
      </c>
      <c r="M53" s="7" t="s">
        <v>39</v>
      </c>
      <c r="N53" s="7" t="s">
        <v>470</v>
      </c>
      <c r="O53" s="7" t="s">
        <v>471</v>
      </c>
    </row>
    <row r="54" customFormat="false" ht="23.85" hidden="false" customHeight="false" outlineLevel="0" collapsed="false">
      <c r="A54" s="7" t="n">
        <v>7</v>
      </c>
      <c r="B54" s="7" t="s">
        <v>98</v>
      </c>
      <c r="C54" s="7" t="s">
        <v>472</v>
      </c>
      <c r="D54" s="7" t="s">
        <v>473</v>
      </c>
      <c r="E54" s="7" t="s">
        <v>474</v>
      </c>
      <c r="F54" s="7" t="s">
        <v>475</v>
      </c>
      <c r="G54" s="7" t="s">
        <v>476</v>
      </c>
      <c r="H54" s="7" t="s">
        <v>98</v>
      </c>
      <c r="I54" s="7" t="s">
        <v>116</v>
      </c>
      <c r="J54" s="7" t="s">
        <v>462</v>
      </c>
      <c r="K54" s="7" t="s">
        <v>100</v>
      </c>
      <c r="L54" s="7" t="s">
        <v>38</v>
      </c>
      <c r="M54" s="7" t="s">
        <v>39</v>
      </c>
      <c r="N54" s="7" t="s">
        <v>477</v>
      </c>
      <c r="O54" s="7" t="s">
        <v>478</v>
      </c>
    </row>
    <row r="55" customFormat="false" ht="23.85" hidden="false" customHeight="false" outlineLevel="0" collapsed="false">
      <c r="A55" s="7" t="n">
        <v>7</v>
      </c>
      <c r="B55" s="7" t="s">
        <v>98</v>
      </c>
      <c r="C55" s="7" t="s">
        <v>479</v>
      </c>
      <c r="D55" s="7" t="s">
        <v>480</v>
      </c>
      <c r="E55" s="7" t="s">
        <v>481</v>
      </c>
      <c r="F55" s="7" t="s">
        <v>482</v>
      </c>
      <c r="G55" s="7" t="s">
        <v>483</v>
      </c>
      <c r="H55" s="7" t="s">
        <v>98</v>
      </c>
      <c r="I55" s="7" t="s">
        <v>116</v>
      </c>
      <c r="J55" s="7" t="s">
        <v>462</v>
      </c>
      <c r="K55" s="7" t="s">
        <v>100</v>
      </c>
      <c r="L55" s="7" t="s">
        <v>38</v>
      </c>
      <c r="M55" s="7" t="s">
        <v>39</v>
      </c>
      <c r="N55" s="7" t="s">
        <v>484</v>
      </c>
      <c r="O55" s="7" t="s">
        <v>485</v>
      </c>
    </row>
    <row r="56" customFormat="false" ht="46.25" hidden="false" customHeight="false" outlineLevel="0" collapsed="false">
      <c r="A56" s="7" t="n">
        <v>7</v>
      </c>
      <c r="B56" s="7" t="s">
        <v>98</v>
      </c>
      <c r="C56" s="7" t="s">
        <v>486</v>
      </c>
      <c r="D56" s="7" t="s">
        <v>94</v>
      </c>
      <c r="E56" s="7" t="s">
        <v>95</v>
      </c>
      <c r="F56" s="7" t="s">
        <v>96</v>
      </c>
      <c r="G56" s="7" t="s">
        <v>97</v>
      </c>
      <c r="H56" s="7" t="s">
        <v>98</v>
      </c>
      <c r="I56" s="7" t="s">
        <v>99</v>
      </c>
      <c r="J56" s="7" t="s">
        <v>462</v>
      </c>
      <c r="K56" s="7" t="s">
        <v>100</v>
      </c>
      <c r="L56" s="7" t="s">
        <v>38</v>
      </c>
      <c r="M56" s="7" t="s">
        <v>39</v>
      </c>
      <c r="N56" s="7" t="s">
        <v>487</v>
      </c>
      <c r="O56" s="7" t="s">
        <v>488</v>
      </c>
    </row>
    <row r="57" customFormat="false" ht="23.85" hidden="false" customHeight="false" outlineLevel="0" collapsed="false">
      <c r="A57" s="7" t="n">
        <v>7</v>
      </c>
      <c r="B57" s="7" t="s">
        <v>98</v>
      </c>
      <c r="C57" s="7" t="s">
        <v>489</v>
      </c>
      <c r="D57" s="7" t="s">
        <v>490</v>
      </c>
      <c r="E57" s="7" t="s">
        <v>491</v>
      </c>
      <c r="F57" s="7" t="s">
        <v>492</v>
      </c>
      <c r="G57" s="7" t="s">
        <v>493</v>
      </c>
      <c r="H57" s="7" t="s">
        <v>98</v>
      </c>
      <c r="I57" s="7" t="s">
        <v>494</v>
      </c>
      <c r="J57" s="7" t="s">
        <v>462</v>
      </c>
      <c r="K57" s="7" t="s">
        <v>495</v>
      </c>
      <c r="L57" s="7" t="s">
        <v>496</v>
      </c>
      <c r="M57" s="7" t="s">
        <v>164</v>
      </c>
      <c r="N57" s="7" t="s">
        <v>497</v>
      </c>
      <c r="O57" s="7" t="s">
        <v>498</v>
      </c>
    </row>
  </sheetData>
  <autoFilter ref="A1:O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70"/>
    <col collapsed="false" customWidth="true" hidden="false" outlineLevel="0" max="5" min="5" style="0" width="50"/>
    <col collapsed="false" customWidth="true" hidden="false" outlineLevel="0" max="6" min="6" style="0" width="56"/>
    <col collapsed="false" customWidth="true" hidden="false" outlineLevel="0" max="7" min="7" style="0" width="9"/>
  </cols>
  <sheetData>
    <row r="1" customFormat="false" ht="15" hidden="false" customHeight="false" outlineLevel="0" collapsed="false">
      <c r="A1" s="6" t="s">
        <v>499</v>
      </c>
      <c r="B1" s="6" t="s">
        <v>14</v>
      </c>
      <c r="C1" s="6" t="s">
        <v>500</v>
      </c>
      <c r="D1" s="6" t="s">
        <v>501</v>
      </c>
      <c r="E1" s="6" t="s">
        <v>502</v>
      </c>
      <c r="F1" s="6" t="s">
        <v>503</v>
      </c>
      <c r="G1" s="6" t="s">
        <v>504</v>
      </c>
    </row>
    <row r="2" customFormat="false" ht="23.85" hidden="false" customHeight="false" outlineLevel="0" collapsed="false">
      <c r="A2" s="7" t="n">
        <v>1</v>
      </c>
      <c r="B2" s="7" t="s">
        <v>28</v>
      </c>
      <c r="C2" s="7" t="s">
        <v>505</v>
      </c>
      <c r="D2" s="7" t="s">
        <v>506</v>
      </c>
      <c r="E2" s="7" t="s">
        <v>36</v>
      </c>
      <c r="F2" s="7" t="s">
        <v>507</v>
      </c>
      <c r="G2" s="7" t="n">
        <f aca="false">COUNTIF(Visual_Specs!A:A,A2)</f>
        <v>8</v>
      </c>
    </row>
    <row r="3" customFormat="false" ht="23.85" hidden="false" customHeight="false" outlineLevel="0" collapsed="false">
      <c r="A3" s="7" t="n">
        <v>2</v>
      </c>
      <c r="B3" s="7" t="s">
        <v>113</v>
      </c>
      <c r="C3" s="7" t="s">
        <v>508</v>
      </c>
      <c r="D3" s="7" t="s">
        <v>509</v>
      </c>
      <c r="E3" s="7" t="s">
        <v>117</v>
      </c>
      <c r="F3" s="7" t="s">
        <v>510</v>
      </c>
      <c r="G3" s="7" t="n">
        <f aca="false">COUNTIF(Visual_Specs!A:A,A3)</f>
        <v>11</v>
      </c>
    </row>
    <row r="4" customFormat="false" ht="23.85" hidden="false" customHeight="false" outlineLevel="0" collapsed="false">
      <c r="A4" s="7" t="n">
        <v>3</v>
      </c>
      <c r="B4" s="7" t="s">
        <v>201</v>
      </c>
      <c r="C4" s="7" t="s">
        <v>511</v>
      </c>
      <c r="D4" s="7" t="s">
        <v>512</v>
      </c>
      <c r="E4" s="7" t="s">
        <v>208</v>
      </c>
      <c r="F4" s="7" t="s">
        <v>513</v>
      </c>
      <c r="G4" s="7" t="n">
        <f aca="false">COUNTIF(Visual_Specs!A:A,A4)</f>
        <v>10</v>
      </c>
    </row>
    <row r="5" customFormat="false" ht="23.85" hidden="false" customHeight="false" outlineLevel="0" collapsed="false">
      <c r="A5" s="7" t="n">
        <v>4</v>
      </c>
      <c r="B5" s="7" t="s">
        <v>67</v>
      </c>
      <c r="C5" s="7" t="s">
        <v>514</v>
      </c>
      <c r="D5" s="7" t="s">
        <v>515</v>
      </c>
      <c r="E5" s="7" t="s">
        <v>292</v>
      </c>
      <c r="F5" s="7" t="s">
        <v>516</v>
      </c>
      <c r="G5" s="7" t="n">
        <f aca="false">COUNTIF(Visual_Specs!A:A,A5)</f>
        <v>6</v>
      </c>
    </row>
    <row r="6" customFormat="false" ht="23.85" hidden="false" customHeight="false" outlineLevel="0" collapsed="false">
      <c r="A6" s="7" t="n">
        <v>5</v>
      </c>
      <c r="B6" s="7" t="s">
        <v>338</v>
      </c>
      <c r="C6" s="7" t="s">
        <v>517</v>
      </c>
      <c r="D6" s="7" t="s">
        <v>518</v>
      </c>
      <c r="E6" s="7" t="s">
        <v>344</v>
      </c>
      <c r="F6" s="7" t="s">
        <v>519</v>
      </c>
      <c r="G6" s="7" t="n">
        <f aca="false">COUNTIF(Visual_Specs!A:A,A6)</f>
        <v>7</v>
      </c>
    </row>
    <row r="7" customFormat="false" ht="23.85" hidden="false" customHeight="false" outlineLevel="0" collapsed="false">
      <c r="A7" s="7" t="n">
        <v>6</v>
      </c>
      <c r="B7" s="7" t="s">
        <v>88</v>
      </c>
      <c r="C7" s="7" t="s">
        <v>520</v>
      </c>
      <c r="D7" s="7" t="s">
        <v>521</v>
      </c>
      <c r="E7" s="7" t="s">
        <v>397</v>
      </c>
      <c r="F7" s="7" t="s">
        <v>522</v>
      </c>
      <c r="G7" s="7" t="n">
        <f aca="false">COUNTIF(Visual_Specs!A:A,A7)</f>
        <v>8</v>
      </c>
    </row>
    <row r="8" customFormat="false" ht="23.85" hidden="false" customHeight="false" outlineLevel="0" collapsed="false">
      <c r="A8" s="7" t="n">
        <v>7</v>
      </c>
      <c r="B8" s="7" t="s">
        <v>98</v>
      </c>
      <c r="C8" s="7" t="s">
        <v>508</v>
      </c>
      <c r="D8" s="7" t="s">
        <v>523</v>
      </c>
      <c r="E8" s="7" t="s">
        <v>462</v>
      </c>
      <c r="F8" s="7" t="s">
        <v>524</v>
      </c>
      <c r="G8" s="7" t="n">
        <f aca="false">COUNTIF(Visual_Specs!A:A,A8)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6" t="s">
        <v>525</v>
      </c>
      <c r="B1" s="6" t="s">
        <v>526</v>
      </c>
    </row>
    <row r="2" customFormat="false" ht="15" hidden="false" customHeight="false" outlineLevel="0" collapsed="false">
      <c r="A2" s="7" t="s">
        <v>527</v>
      </c>
      <c r="B2" s="7" t="s">
        <v>528</v>
      </c>
    </row>
    <row r="3" customFormat="false" ht="15" hidden="false" customHeight="false" outlineLevel="0" collapsed="false">
      <c r="A3" s="7" t="s">
        <v>529</v>
      </c>
      <c r="B3" s="7" t="s">
        <v>530</v>
      </c>
    </row>
    <row r="4" customFormat="false" ht="15" hidden="false" customHeight="false" outlineLevel="0" collapsed="false">
      <c r="A4" s="7" t="s">
        <v>531</v>
      </c>
      <c r="B4" s="7" t="s">
        <v>532</v>
      </c>
    </row>
    <row r="5" customFormat="false" ht="15" hidden="false" customHeight="false" outlineLevel="0" collapsed="false">
      <c r="A5" s="7" t="s">
        <v>533</v>
      </c>
      <c r="B5" s="7" t="s">
        <v>534</v>
      </c>
    </row>
    <row r="6" customFormat="false" ht="15" hidden="false" customHeight="false" outlineLevel="0" collapsed="false">
      <c r="A6" s="7" t="s">
        <v>535</v>
      </c>
      <c r="B6" s="7" t="s">
        <v>536</v>
      </c>
    </row>
    <row r="7" customFormat="false" ht="15" hidden="false" customHeight="false" outlineLevel="0" collapsed="false">
      <c r="A7" s="7" t="s">
        <v>537</v>
      </c>
      <c r="B7" s="7" t="s">
        <v>538</v>
      </c>
    </row>
    <row r="8" customFormat="false" ht="23.85" hidden="false" customHeight="false" outlineLevel="0" collapsed="false">
      <c r="A8" s="7" t="s">
        <v>539</v>
      </c>
      <c r="B8" s="7" t="s">
        <v>540</v>
      </c>
    </row>
    <row r="9" customFormat="false" ht="15" hidden="false" customHeight="false" outlineLevel="0" collapsed="false">
      <c r="A9" s="7" t="s">
        <v>541</v>
      </c>
      <c r="B9" s="7" t="s">
        <v>542</v>
      </c>
    </row>
    <row r="10" customFormat="false" ht="15" hidden="false" customHeight="false" outlineLevel="0" collapsed="false">
      <c r="A10" s="7" t="s">
        <v>543</v>
      </c>
      <c r="B10" s="7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6" t="s">
        <v>545</v>
      </c>
      <c r="B1" s="6" t="s">
        <v>546</v>
      </c>
      <c r="C1" s="6" t="s">
        <v>547</v>
      </c>
    </row>
    <row r="2" customFormat="false" ht="15" hidden="false" customHeight="false" outlineLevel="0" collapsed="false">
      <c r="A2" s="7" t="s">
        <v>45</v>
      </c>
      <c r="B2" s="7" t="s">
        <v>44</v>
      </c>
      <c r="C2" s="7" t="n">
        <f aca="false">COUNTIF(Visual_Specs!F:F,"*"&amp;A2&amp;"*")</f>
        <v>5</v>
      </c>
    </row>
    <row r="3" customFormat="false" ht="15" hidden="false" customHeight="false" outlineLevel="0" collapsed="false">
      <c r="A3" s="7" t="s">
        <v>272</v>
      </c>
      <c r="B3" s="7" t="s">
        <v>271</v>
      </c>
      <c r="C3" s="7" t="n">
        <f aca="false">COUNTIF(Visual_Specs!F:F,"*"&amp;A3&amp;"*")</f>
        <v>7</v>
      </c>
    </row>
    <row r="4" customFormat="false" ht="15" hidden="false" customHeight="false" outlineLevel="0" collapsed="false">
      <c r="A4" s="7" t="s">
        <v>548</v>
      </c>
      <c r="B4" s="7" t="s">
        <v>549</v>
      </c>
      <c r="C4" s="7" t="n">
        <f aca="false">COUNTIF(Visual_Specs!F:F,"*"&amp;A4&amp;"*")</f>
        <v>2</v>
      </c>
    </row>
    <row r="5" customFormat="false" ht="15" hidden="false" customHeight="false" outlineLevel="0" collapsed="false">
      <c r="A5" s="7" t="s">
        <v>550</v>
      </c>
      <c r="B5" s="7" t="s">
        <v>551</v>
      </c>
      <c r="C5" s="7" t="n">
        <f aca="false">COUNTIF(Visual_Specs!F:F,"*"&amp;A5&amp;"*")</f>
        <v>2</v>
      </c>
    </row>
    <row r="6" customFormat="false" ht="15" hidden="false" customHeight="false" outlineLevel="0" collapsed="false">
      <c r="A6" s="7" t="s">
        <v>552</v>
      </c>
      <c r="B6" s="7" t="s">
        <v>553</v>
      </c>
      <c r="C6" s="7" t="n">
        <f aca="false">COUNTIF(Visual_Specs!F:F,"*"&amp;A6&amp;"*")</f>
        <v>1</v>
      </c>
    </row>
    <row r="7" customFormat="false" ht="15" hidden="false" customHeight="false" outlineLevel="0" collapsed="false">
      <c r="A7" s="7" t="s">
        <v>188</v>
      </c>
      <c r="B7" s="7" t="s">
        <v>187</v>
      </c>
      <c r="C7" s="7" t="n">
        <f aca="false">COUNTIF(Visual_Specs!F:F,"*"&amp;A7&amp;"*")</f>
        <v>1</v>
      </c>
    </row>
    <row r="8" customFormat="false" ht="15" hidden="false" customHeight="false" outlineLevel="0" collapsed="false">
      <c r="A8" s="7" t="s">
        <v>170</v>
      </c>
      <c r="B8" s="7" t="s">
        <v>169</v>
      </c>
      <c r="C8" s="7" t="n">
        <f aca="false">COUNTIF(Visual_Specs!F:F,"*"&amp;A8&amp;"*")</f>
        <v>1</v>
      </c>
    </row>
    <row r="9" customFormat="false" ht="15" hidden="false" customHeight="false" outlineLevel="0" collapsed="false">
      <c r="A9" s="7" t="s">
        <v>178</v>
      </c>
      <c r="B9" s="7" t="s">
        <v>177</v>
      </c>
      <c r="C9" s="7" t="n">
        <f aca="false">COUNTIF(Visual_Specs!F:F,"*"&amp;A9&amp;"*")</f>
        <v>1</v>
      </c>
    </row>
    <row r="10" customFormat="false" ht="15" hidden="false" customHeight="false" outlineLevel="0" collapsed="false">
      <c r="A10" s="7" t="s">
        <v>159</v>
      </c>
      <c r="B10" s="7" t="s">
        <v>158</v>
      </c>
      <c r="C10" s="7" t="n">
        <f aca="false">COUNTIF(Visual_Specs!F:F,"*"&amp;A10&amp;"*")</f>
        <v>1</v>
      </c>
    </row>
    <row r="11" customFormat="false" ht="15" hidden="false" customHeight="false" outlineLevel="0" collapsed="false">
      <c r="A11" s="7" t="s">
        <v>554</v>
      </c>
      <c r="B11" s="7" t="s">
        <v>555</v>
      </c>
      <c r="C11" s="7" t="n">
        <f aca="false">COUNTIF(Visual_Specs!F:F,"*"&amp;A11&amp;"*")</f>
        <v>1</v>
      </c>
    </row>
    <row r="12" customFormat="false" ht="15" hidden="false" customHeight="false" outlineLevel="0" collapsed="false">
      <c r="A12" s="7" t="s">
        <v>205</v>
      </c>
      <c r="B12" s="7" t="s">
        <v>204</v>
      </c>
      <c r="C12" s="7" t="n">
        <f aca="false">COUNTIF(Visual_Specs!F:F,"*"&amp;A12&amp;"*")</f>
        <v>1</v>
      </c>
    </row>
    <row r="13" customFormat="false" ht="15" hidden="false" customHeight="false" outlineLevel="0" collapsed="false">
      <c r="A13" s="7" t="s">
        <v>215</v>
      </c>
      <c r="B13" s="7" t="s">
        <v>214</v>
      </c>
      <c r="C13" s="7" t="n">
        <f aca="false">COUNTIF(Visual_Specs!F:F,"*"&amp;A13&amp;"*")</f>
        <v>1</v>
      </c>
    </row>
    <row r="14" customFormat="false" ht="15" hidden="false" customHeight="false" outlineLevel="0" collapsed="false">
      <c r="A14" s="7" t="s">
        <v>556</v>
      </c>
      <c r="B14" s="7" t="s">
        <v>557</v>
      </c>
      <c r="C14" s="7" t="n">
        <f aca="false">COUNTIF(Visual_Specs!F:F,"*"&amp;A14&amp;"*")</f>
        <v>3</v>
      </c>
    </row>
    <row r="15" customFormat="false" ht="15" hidden="false" customHeight="false" outlineLevel="0" collapsed="false">
      <c r="A15" s="7" t="s">
        <v>558</v>
      </c>
      <c r="B15" s="7" t="s">
        <v>559</v>
      </c>
      <c r="C15" s="7" t="n">
        <f aca="false">COUNTIF(Visual_Specs!F:F,"*"&amp;A15&amp;"*")</f>
        <v>2</v>
      </c>
    </row>
    <row r="16" customFormat="false" ht="15" hidden="false" customHeight="false" outlineLevel="0" collapsed="false">
      <c r="A16" s="7" t="s">
        <v>230</v>
      </c>
      <c r="B16" s="7" t="s">
        <v>229</v>
      </c>
      <c r="C16" s="7" t="n">
        <f aca="false">COUNTIF(Visual_Specs!F:F,"*"&amp;A16&amp;"*")</f>
        <v>2</v>
      </c>
    </row>
    <row r="17" customFormat="false" ht="15" hidden="false" customHeight="false" outlineLevel="0" collapsed="false">
      <c r="A17" s="7" t="s">
        <v>239</v>
      </c>
      <c r="B17" s="7" t="s">
        <v>238</v>
      </c>
      <c r="C17" s="7" t="n">
        <f aca="false">COUNTIF(Visual_Specs!F:F,"*"&amp;A17&amp;"*")</f>
        <v>1</v>
      </c>
    </row>
    <row r="18" customFormat="false" ht="15" hidden="false" customHeight="false" outlineLevel="0" collapsed="false">
      <c r="A18" s="7" t="s">
        <v>248</v>
      </c>
      <c r="B18" s="7" t="s">
        <v>247</v>
      </c>
      <c r="C18" s="7" t="n">
        <f aca="false">COUNTIF(Visual_Specs!F:F,"*"&amp;A18&amp;"*")</f>
        <v>1</v>
      </c>
    </row>
    <row r="19" customFormat="false" ht="15" hidden="false" customHeight="false" outlineLevel="0" collapsed="false">
      <c r="A19" s="7" t="s">
        <v>560</v>
      </c>
      <c r="B19" s="7" t="s">
        <v>561</v>
      </c>
      <c r="C19" s="7" t="n">
        <f aca="false">COUNTIF(Visual_Specs!F:F,"*"&amp;A19&amp;"*")</f>
        <v>1</v>
      </c>
    </row>
    <row r="20" customFormat="false" ht="15" hidden="false" customHeight="false" outlineLevel="0" collapsed="false">
      <c r="A20" s="7" t="s">
        <v>562</v>
      </c>
      <c r="B20" s="7" t="s">
        <v>563</v>
      </c>
      <c r="C20" s="7" t="n">
        <f aca="false">COUNTIF(Visual_Specs!F:F,"*"&amp;A20&amp;"*")</f>
        <v>1</v>
      </c>
    </row>
    <row r="21" customFormat="false" ht="15" hidden="false" customHeight="false" outlineLevel="0" collapsed="false">
      <c r="A21" s="7" t="s">
        <v>564</v>
      </c>
      <c r="B21" s="7" t="s">
        <v>565</v>
      </c>
      <c r="C21" s="7" t="n">
        <f aca="false">COUNTIF(Visual_Specs!F:F,"*"&amp;A21&amp;"*")</f>
        <v>1</v>
      </c>
    </row>
    <row r="22" customFormat="false" ht="15" hidden="false" customHeight="false" outlineLevel="0" collapsed="false">
      <c r="A22" s="7" t="s">
        <v>290</v>
      </c>
      <c r="B22" s="7" t="s">
        <v>289</v>
      </c>
      <c r="C22" s="7" t="n">
        <f aca="false">COUNTIF(Visual_Specs!F:F,"*"&amp;A22&amp;"*")</f>
        <v>1</v>
      </c>
    </row>
    <row r="23" customFormat="false" ht="15" hidden="false" customHeight="false" outlineLevel="0" collapsed="false">
      <c r="A23" s="7" t="s">
        <v>316</v>
      </c>
      <c r="B23" s="7" t="s">
        <v>315</v>
      </c>
      <c r="C23" s="7" t="n">
        <f aca="false">COUNTIF(Visual_Specs!F:F,"*"&amp;A23&amp;"*")</f>
        <v>3</v>
      </c>
    </row>
    <row r="24" customFormat="false" ht="15" hidden="false" customHeight="false" outlineLevel="0" collapsed="false">
      <c r="A24" s="7" t="s">
        <v>566</v>
      </c>
      <c r="B24" s="7" t="s">
        <v>567</v>
      </c>
      <c r="C24" s="7" t="n">
        <f aca="false">COUNTIF(Visual_Specs!F:F,"*"&amp;A24&amp;"*")</f>
        <v>3</v>
      </c>
    </row>
    <row r="25" customFormat="false" ht="15" hidden="false" customHeight="false" outlineLevel="0" collapsed="false">
      <c r="A25" s="7" t="s">
        <v>568</v>
      </c>
      <c r="B25" s="7" t="s">
        <v>569</v>
      </c>
      <c r="C25" s="7" t="n">
        <f aca="false">COUNTIF(Visual_Specs!F:F,"*"&amp;A25&amp;"*")</f>
        <v>1</v>
      </c>
    </row>
    <row r="26" customFormat="false" ht="15" hidden="false" customHeight="false" outlineLevel="0" collapsed="false">
      <c r="A26" s="7" t="s">
        <v>299</v>
      </c>
      <c r="B26" s="7" t="s">
        <v>298</v>
      </c>
      <c r="C26" s="7" t="n">
        <f aca="false">COUNTIF(Visual_Specs!F:F,"*"&amp;A26&amp;"*")</f>
        <v>1</v>
      </c>
    </row>
    <row r="27" customFormat="false" ht="15" hidden="false" customHeight="false" outlineLevel="0" collapsed="false">
      <c r="A27" s="7" t="s">
        <v>570</v>
      </c>
      <c r="B27" s="7" t="s">
        <v>571</v>
      </c>
      <c r="C27" s="7" t="n">
        <f aca="false">COUNTIF(Visual_Specs!F:F,"*"&amp;A27&amp;"*")</f>
        <v>1</v>
      </c>
    </row>
    <row r="28" customFormat="false" ht="15" hidden="false" customHeight="false" outlineLevel="0" collapsed="false">
      <c r="A28" s="7" t="s">
        <v>334</v>
      </c>
      <c r="B28" s="7" t="s">
        <v>333</v>
      </c>
      <c r="C28" s="7" t="n">
        <f aca="false">COUNTIF(Visual_Specs!F:F,"*"&amp;A28&amp;"*")</f>
        <v>1</v>
      </c>
    </row>
    <row r="29" customFormat="false" ht="15" hidden="false" customHeight="false" outlineLevel="0" collapsed="false">
      <c r="A29" s="7" t="s">
        <v>342</v>
      </c>
      <c r="B29" s="7" t="s">
        <v>341</v>
      </c>
      <c r="C29" s="7" t="n">
        <f aca="false">COUNTIF(Visual_Specs!F:F,"*"&amp;A29&amp;"*")</f>
        <v>2</v>
      </c>
    </row>
    <row r="30" customFormat="false" ht="15" hidden="false" customHeight="false" outlineLevel="0" collapsed="false">
      <c r="A30" s="7" t="s">
        <v>350</v>
      </c>
      <c r="B30" s="7" t="s">
        <v>349</v>
      </c>
      <c r="C30" s="7" t="n">
        <f aca="false">COUNTIF(Visual_Specs!F:F,"*"&amp;A30&amp;"*")</f>
        <v>1</v>
      </c>
    </row>
    <row r="31" customFormat="false" ht="15" hidden="false" customHeight="false" outlineLevel="0" collapsed="false">
      <c r="A31" s="7" t="s">
        <v>358</v>
      </c>
      <c r="B31" s="7" t="s">
        <v>357</v>
      </c>
      <c r="C31" s="7" t="n">
        <f aca="false">COUNTIF(Visual_Specs!F:F,"*"&amp;A31&amp;"*")</f>
        <v>1</v>
      </c>
    </row>
    <row r="32" customFormat="false" ht="15" hidden="false" customHeight="false" outlineLevel="0" collapsed="false">
      <c r="A32" s="7" t="s">
        <v>366</v>
      </c>
      <c r="B32" s="7" t="s">
        <v>365</v>
      </c>
      <c r="C32" s="7" t="n">
        <f aca="false">COUNTIF(Visual_Specs!F:F,"*"&amp;A32&amp;"*")</f>
        <v>2</v>
      </c>
    </row>
    <row r="33" customFormat="false" ht="15" hidden="false" customHeight="false" outlineLevel="0" collapsed="false">
      <c r="A33" s="7" t="s">
        <v>377</v>
      </c>
      <c r="B33" s="7" t="s">
        <v>376</v>
      </c>
      <c r="C33" s="7" t="n">
        <f aca="false">COUNTIF(Visual_Specs!F:F,"*"&amp;A33&amp;"*")</f>
        <v>1</v>
      </c>
    </row>
    <row r="34" customFormat="false" ht="15" hidden="false" customHeight="false" outlineLevel="0" collapsed="false">
      <c r="A34" s="7" t="s">
        <v>395</v>
      </c>
      <c r="B34" s="7" t="s">
        <v>394</v>
      </c>
      <c r="C34" s="7" t="n">
        <f aca="false">COUNTIF(Visual_Specs!F:F,"*"&amp;A34&amp;"*")</f>
        <v>2</v>
      </c>
    </row>
    <row r="35" customFormat="false" ht="15" hidden="false" customHeight="false" outlineLevel="0" collapsed="false">
      <c r="A35" s="7" t="s">
        <v>572</v>
      </c>
      <c r="B35" s="7" t="s">
        <v>573</v>
      </c>
      <c r="C35" s="7" t="n">
        <f aca="false">COUNTIF(Visual_Specs!F:F,"*"&amp;A35&amp;"*")</f>
        <v>2</v>
      </c>
    </row>
    <row r="36" customFormat="false" ht="15" hidden="false" customHeight="false" outlineLevel="0" collapsed="false">
      <c r="A36" s="7" t="s">
        <v>574</v>
      </c>
      <c r="B36" s="7" t="s">
        <v>575</v>
      </c>
      <c r="C36" s="7" t="n">
        <f aca="false">COUNTIF(Visual_Specs!F:F,"*"&amp;A36&amp;"*")</f>
        <v>3</v>
      </c>
    </row>
    <row r="37" customFormat="false" ht="15" hidden="false" customHeight="false" outlineLevel="0" collapsed="false">
      <c r="A37" s="7" t="s">
        <v>451</v>
      </c>
      <c r="B37" s="7" t="s">
        <v>450</v>
      </c>
      <c r="C37" s="7" t="n">
        <f aca="false">COUNTIF(Visual_Specs!F:F,"*"&amp;A37&amp;"*")</f>
        <v>3</v>
      </c>
    </row>
    <row r="38" customFormat="false" ht="15" hidden="false" customHeight="false" outlineLevel="0" collapsed="false">
      <c r="A38" s="7" t="s">
        <v>576</v>
      </c>
      <c r="B38" s="7" t="s">
        <v>577</v>
      </c>
      <c r="C38" s="7" t="n">
        <f aca="false">COUNTIF(Visual_Specs!F:F,"*"&amp;A38&amp;"*")</f>
        <v>1</v>
      </c>
    </row>
    <row r="39" customFormat="false" ht="15" hidden="false" customHeight="false" outlineLevel="0" collapsed="false">
      <c r="A39" s="7" t="s">
        <v>413</v>
      </c>
      <c r="B39" s="7" t="s">
        <v>412</v>
      </c>
      <c r="C39" s="7" t="n">
        <f aca="false">COUNTIF(Visual_Specs!F:F,"*"&amp;A39&amp;"*")</f>
        <v>1</v>
      </c>
    </row>
    <row r="40" customFormat="false" ht="15" hidden="false" customHeight="false" outlineLevel="0" collapsed="false">
      <c r="A40" s="7" t="s">
        <v>436</v>
      </c>
      <c r="B40" s="7" t="s">
        <v>435</v>
      </c>
      <c r="C40" s="7" t="n">
        <f aca="false">COUNTIF(Visual_Specs!F:F,"*"&amp;A40&amp;"*")</f>
        <v>1</v>
      </c>
    </row>
    <row r="41" customFormat="false" ht="15" hidden="false" customHeight="false" outlineLevel="0" collapsed="false">
      <c r="A41" s="7" t="s">
        <v>578</v>
      </c>
      <c r="B41" s="7" t="s">
        <v>579</v>
      </c>
      <c r="C41" s="7" t="n">
        <f aca="false">COUNTIF(Visual_Specs!F:F,"*"&amp;A41&amp;"*")</f>
        <v>1</v>
      </c>
    </row>
    <row r="42" customFormat="false" ht="15" hidden="false" customHeight="false" outlineLevel="0" collapsed="false">
      <c r="A42" s="7" t="s">
        <v>444</v>
      </c>
      <c r="B42" s="7" t="s">
        <v>443</v>
      </c>
      <c r="C42" s="7" t="n">
        <f aca="false">COUNTIF(Visual_Specs!F:F,"*"&amp;A42&amp;"*")</f>
        <v>1</v>
      </c>
    </row>
    <row r="43" customFormat="false" ht="15" hidden="false" customHeight="false" outlineLevel="0" collapsed="false">
      <c r="A43" s="7" t="s">
        <v>429</v>
      </c>
      <c r="B43" s="7" t="s">
        <v>428</v>
      </c>
      <c r="C43" s="7" t="n">
        <f aca="false">COUNTIF(Visual_Specs!F:F,"*"&amp;A43&amp;"*")</f>
        <v>1</v>
      </c>
    </row>
    <row r="44" customFormat="false" ht="15" hidden="false" customHeight="false" outlineLevel="0" collapsed="false">
      <c r="A44" s="7" t="s">
        <v>460</v>
      </c>
      <c r="B44" s="7" t="s">
        <v>459</v>
      </c>
      <c r="C44" s="7" t="n">
        <f aca="false">COUNTIF(Visual_Specs!F:F,"*"&amp;A44&amp;"*")</f>
        <v>3</v>
      </c>
    </row>
    <row r="45" customFormat="false" ht="15" hidden="false" customHeight="false" outlineLevel="0" collapsed="false">
      <c r="A45" s="7" t="s">
        <v>468</v>
      </c>
      <c r="B45" s="7" t="s">
        <v>467</v>
      </c>
      <c r="C45" s="7" t="n">
        <f aca="false">COUNTIF(Visual_Specs!F:F,"*"&amp;A45&amp;"*")</f>
        <v>3</v>
      </c>
    </row>
    <row r="46" customFormat="false" ht="15" hidden="false" customHeight="false" outlineLevel="0" collapsed="false">
      <c r="A46" s="7" t="s">
        <v>580</v>
      </c>
      <c r="B46" s="7" t="s">
        <v>581</v>
      </c>
      <c r="C46" s="7" t="n">
        <f aca="false">COUNTIF(Visual_Specs!F:F,"*"&amp;A46&amp;"*")</f>
        <v>3</v>
      </c>
    </row>
    <row r="47" customFormat="false" ht="15" hidden="false" customHeight="false" outlineLevel="0" collapsed="false">
      <c r="A47" s="7" t="s">
        <v>582</v>
      </c>
      <c r="B47" s="7" t="s">
        <v>583</v>
      </c>
      <c r="C47" s="7" t="n">
        <f aca="false">COUNTIF(Visual_Specs!F:F,"*"&amp;A47&amp;"*")</f>
        <v>3</v>
      </c>
    </row>
    <row r="48" customFormat="false" ht="15" hidden="false" customHeight="false" outlineLevel="0" collapsed="false">
      <c r="A48" s="7" t="s">
        <v>584</v>
      </c>
      <c r="B48" s="7" t="s">
        <v>585</v>
      </c>
      <c r="C48" s="7" t="n">
        <f aca="false">COUNTIF(Visual_Specs!F:F,"*"&amp;A48&amp;"*")</f>
        <v>1</v>
      </c>
    </row>
    <row r="49" customFormat="false" ht="15" hidden="false" customHeight="false" outlineLevel="0" collapsed="false">
      <c r="A49" s="7" t="s">
        <v>492</v>
      </c>
      <c r="B49" s="7" t="s">
        <v>491</v>
      </c>
      <c r="C49" s="7" t="n">
        <f aca="false">COUNTIF(Visual_Specs!F:F,"*"&amp;A49&amp;"*")</f>
        <v>2</v>
      </c>
    </row>
    <row r="50" customFormat="false" ht="15" hidden="false" customHeight="false" outlineLevel="0" collapsed="false">
      <c r="A50" s="7" t="s">
        <v>586</v>
      </c>
      <c r="B50" s="7" t="s">
        <v>587</v>
      </c>
      <c r="C50" s="7" t="n">
        <f aca="false">COUNTIF(Visual_Specs!F:F,"*"&amp;A50&amp;"*")</f>
        <v>1</v>
      </c>
    </row>
    <row r="51" customFormat="false" ht="15" hidden="false" customHeight="false" outlineLevel="0" collapsed="false">
      <c r="A51" s="7" t="s">
        <v>588</v>
      </c>
      <c r="B51" s="7" t="s">
        <v>589</v>
      </c>
      <c r="C51" s="7" t="n">
        <f aca="false">COUNTIF(Visual_Specs!F:F,"*"&amp;A51&amp;"*")</f>
        <v>1</v>
      </c>
    </row>
    <row r="52" customFormat="false" ht="15" hidden="false" customHeight="false" outlineLevel="0" collapsed="false">
      <c r="A52" s="7" t="s">
        <v>590</v>
      </c>
      <c r="B52" s="7" t="s">
        <v>591</v>
      </c>
      <c r="C52" s="7" t="n">
        <f aca="false">COUNTIF(Visual_Specs!F:F,"*"&amp;A52&amp;"*")</f>
        <v>1</v>
      </c>
    </row>
    <row r="53" customFormat="false" ht="15" hidden="false" customHeight="false" outlineLevel="0" collapsed="false">
      <c r="A53" s="7" t="s">
        <v>386</v>
      </c>
      <c r="B53" s="7" t="s">
        <v>385</v>
      </c>
      <c r="C53" s="7" t="n">
        <f aca="false">COUNTIF(Visual_Specs!F:F,"*"&amp;A53&amp;"*")</f>
        <v>2</v>
      </c>
    </row>
    <row r="54" customFormat="false" ht="15" hidden="false" customHeight="false" outlineLevel="0" collapsed="false">
      <c r="A54" s="7" t="s">
        <v>592</v>
      </c>
      <c r="B54" s="7" t="s">
        <v>593</v>
      </c>
      <c r="C54" s="7" t="n">
        <f aca="false">COUNTIF(Visual_Specs!F:F,"*"&amp;A54&amp;"*")</f>
        <v>1</v>
      </c>
    </row>
    <row r="55" customFormat="false" ht="15" hidden="false" customHeight="false" outlineLevel="0" collapsed="false">
      <c r="A55" s="7" t="s">
        <v>594</v>
      </c>
      <c r="B55" s="7" t="s">
        <v>595</v>
      </c>
      <c r="C55" s="7" t="n">
        <f aca="false">COUNTIF(Visual_Specs!F:F,"*"&amp;A55&amp;"*")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2026-10-11T06:02:12Z</dcterms:created>
  <dc:creator>openpyxl</dc:creator>
  <dc:description/>
  <dc:language>en-US</dc:language>
  <cp:lastModifiedBy/>
  <dcterms:modified xsi:type="dcterms:W3CDTF">2026-10-11T06:02:12Z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